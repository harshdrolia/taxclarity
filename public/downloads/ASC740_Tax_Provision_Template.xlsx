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sion Summary" sheetId="1" state="visible" r:id="rId3"/>
    <sheet name="DTA-DTL Roll-Forward" sheetId="2" state="visible" r:id="rId4"/>
    <sheet name="ETR Reconcili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5" authorId="0">
      <text>
        <r>
          <rPr>
            <sz val="10"/>
            <rFont val="Arial"/>
            <family val="2"/>
          </rPr>
          <t xml:space="preserve">Replace 5% with actual blended state rate</t>
        </r>
      </text>
    </comment>
  </commentList>
</comments>
</file>

<file path=xl/sharedStrings.xml><?xml version="1.0" encoding="utf-8"?>
<sst xmlns="http://schemas.openxmlformats.org/spreadsheetml/2006/main" count="96" uniqueCount="94">
  <si>
    <t xml:space="preserve">ASC 740 — Income Tax Provision Summary</t>
  </si>
  <si>
    <t xml:space="preserve">Tax Year 2025  |  Template — replace with actual figures  |  Blue = inputs  |  Black = formulas</t>
  </si>
  <si>
    <t xml:space="preserve">Company Name:</t>
  </si>
  <si>
    <t xml:space="preserve">[Company Name]</t>
  </si>
  <si>
    <t xml:space="preserve">EIN:</t>
  </si>
  <si>
    <t xml:space="preserve">XX-XXXXXXX</t>
  </si>
  <si>
    <t xml:space="preserve">Tax Year:</t>
  </si>
  <si>
    <t xml:space="preserve">2025</t>
  </si>
  <si>
    <t xml:space="preserve">Statutory Rate:</t>
  </si>
  <si>
    <t xml:space="preserve">Federal</t>
  </si>
  <si>
    <t xml:space="preserve">State</t>
  </si>
  <si>
    <t xml:space="preserve">Foreign</t>
  </si>
  <si>
    <t xml:space="preserve">Total</t>
  </si>
  <si>
    <t xml:space="preserve">Notes</t>
  </si>
  <si>
    <t xml:space="preserve">CURRENT TAX PROVISION</t>
  </si>
  <si>
    <t xml:space="preserve">Pretax book income (loss)</t>
  </si>
  <si>
    <t xml:space="preserve">Permanent differences — add back</t>
  </si>
  <si>
    <t xml:space="preserve">  Meals &amp; entertainment (50% disallowed)</t>
  </si>
  <si>
    <t xml:space="preserve">  §162(m) excess officer compensation</t>
  </si>
  <si>
    <t xml:space="preserve">  Fines and penalties</t>
  </si>
  <si>
    <t xml:space="preserve">  Life insurance proceeds</t>
  </si>
  <si>
    <t xml:space="preserve">  Other permanent differences</t>
  </si>
  <si>
    <t xml:space="preserve">Total permanent differences</t>
  </si>
  <si>
    <t xml:space="preserve">Temporary differences reversing currently</t>
  </si>
  <si>
    <t xml:space="preserve">Taxable income before NOL/credits</t>
  </si>
  <si>
    <t xml:space="preserve">NOL deduction (80% limit post-2017)</t>
  </si>
  <si>
    <t xml:space="preserve">Taxable income</t>
  </si>
  <si>
    <t xml:space="preserve">Current federal tax</t>
  </si>
  <si>
    <t xml:space="preserve">Current state tax</t>
  </si>
  <si>
    <t xml:space="preserve">Current foreign tax</t>
  </si>
  <si>
    <t xml:space="preserve">Tax credits (R&amp;D, foreign, etc.)</t>
  </si>
  <si>
    <t xml:space="preserve">TOTAL CURRENT TAX PROVISION</t>
  </si>
  <si>
    <t xml:space="preserve">DEFERRED TAX PROVISION</t>
  </si>
  <si>
    <t xml:space="preserve">Temporary Difference Originating / Reversing</t>
  </si>
  <si>
    <t xml:space="preserve">  Depreciation / §168 (DTL)</t>
  </si>
  <si>
    <t xml:space="preserve">  Warranty / returns accrual (DTA)</t>
  </si>
  <si>
    <t xml:space="preserve">  Deferred revenue — ASC 606 (DTA)</t>
  </si>
  <si>
    <t xml:space="preserve">  Bad debt reserve (DTA)</t>
  </si>
  <si>
    <t xml:space="preserve">  Stock compensation — §83 (DTA)</t>
  </si>
  <si>
    <t xml:space="preserve">  Lease liabilities vs ROU asset (net DTL)</t>
  </si>
  <si>
    <t xml:space="preserve">  §263A UNICAP inventory (DTL)</t>
  </si>
  <si>
    <t xml:space="preserve">  NOL carryforward (DTA)</t>
  </si>
  <si>
    <t xml:space="preserve">  R&amp;D capitalization §174 (DTA)</t>
  </si>
  <si>
    <t xml:space="preserve">  Other temporary differences</t>
  </si>
  <si>
    <t xml:space="preserve">Net deferred tax expense (benefit)</t>
  </si>
  <si>
    <t xml:space="preserve">TOTAL INCOME TAX PROVISION</t>
  </si>
  <si>
    <t xml:space="preserve">Total provision (current + deferred)</t>
  </si>
  <si>
    <t xml:space="preserve">Effective tax rate (ETR)</t>
  </si>
  <si>
    <t xml:space="preserve">Deferred Tax Asset / Liability Roll-Forward</t>
  </si>
  <si>
    <t xml:space="preserve">Track temporary difference balances and deferred tax movements year over year</t>
  </si>
  <si>
    <t xml:space="preserve">Temporary Difference</t>
  </si>
  <si>
    <t xml:space="preserve">BOY Temp
Diff Balance</t>
  </si>
  <si>
    <t xml:space="preserve">Current Year
Originating</t>
  </si>
  <si>
    <t xml:space="preserve">Current Year
Reversing</t>
  </si>
  <si>
    <t xml:space="preserve">EOY Temp
Diff Balance</t>
  </si>
  <si>
    <t xml:space="preserve">Tax Rate</t>
  </si>
  <si>
    <t xml:space="preserve">EOY Deferred
Tax (DTA/DTL)</t>
  </si>
  <si>
    <t xml:space="preserve">Valuation
Allowance</t>
  </si>
  <si>
    <t xml:space="preserve">Depreciation — §168 accelerated</t>
  </si>
  <si>
    <t xml:space="preserve">Warranty / returns accrual</t>
  </si>
  <si>
    <t xml:space="preserve">Deferred revenue — ASC 606</t>
  </si>
  <si>
    <t xml:space="preserve">Bad debt reserve — §166</t>
  </si>
  <si>
    <t xml:space="preserve">Stock compensation — §83</t>
  </si>
  <si>
    <t xml:space="preserve">Lease — ROU vs liability</t>
  </si>
  <si>
    <t xml:space="preserve">UNICAP inventory — §263A</t>
  </si>
  <si>
    <t xml:space="preserve">NOL carryforward</t>
  </si>
  <si>
    <t xml:space="preserve">R&amp;D capitalization — §174</t>
  </si>
  <si>
    <t xml:space="preserve">Accrued compensation</t>
  </si>
  <si>
    <t xml:space="preserve">Other 1</t>
  </si>
  <si>
    <t xml:space="preserve">Other 2</t>
  </si>
  <si>
    <t xml:space="preserve">TOTALS</t>
  </si>
  <si>
    <t xml:space="preserve">Net DTA (DTL) after Valuation Allowance</t>
  </si>
  <si>
    <t xml:space="preserve">Effective Tax Rate (ETR) Reconciliation — ASC 740-10-50</t>
  </si>
  <si>
    <t xml:space="preserve">Bridges statutory rate to actual ETR  |  ASC 740-10-50-12/15 requires disclosure of items ≥ 5% of expected tax</t>
  </si>
  <si>
    <t xml:space="preserve">ETR Reconciliation Item</t>
  </si>
  <si>
    <t xml:space="preserve">Amount ($)</t>
  </si>
  <si>
    <t xml:space="preserve">Rate (%)</t>
  </si>
  <si>
    <t xml:space="preserve">Pretax book income</t>
  </si>
  <si>
    <t xml:space="preserve">Tax at statutory rate (21%)</t>
  </si>
  <si>
    <t xml:space="preserve">State taxes (net of federal benefit)</t>
  </si>
  <si>
    <t xml:space="preserve">Permanent differences — meals &amp; entertainment</t>
  </si>
  <si>
    <t xml:space="preserve">Permanent differences — §162(m) excess comp</t>
  </si>
  <si>
    <t xml:space="preserve">Permanent differences — other</t>
  </si>
  <si>
    <t xml:space="preserve">R&amp;D tax credits</t>
  </si>
  <si>
    <t xml:space="preserve">Foreign rate differential</t>
  </si>
  <si>
    <t xml:space="preserve">GILTI / FDII inclusion</t>
  </si>
  <si>
    <t xml:space="preserve">Valuation allowance change</t>
  </si>
  <si>
    <t xml:space="preserve">Return-to-provision true-up</t>
  </si>
  <si>
    <t xml:space="preserve">Uncertain tax positions (ASC 740-10)</t>
  </si>
  <si>
    <t xml:space="preserve">Stock compensation windfall / shortfall</t>
  </si>
  <si>
    <t xml:space="preserve">Other discrete items</t>
  </si>
  <si>
    <t xml:space="preserve">Statutory rate</t>
  </si>
  <si>
    <t xml:space="preserve">Effective tax rate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</si>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</sst>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;&quot;($&quot;#,##0\);\-"/>
    <numFmt numFmtId="167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9933A"/>
      <name val="Arial"/>
      <family val="0"/>
      <charset val="1"/>
    </font>
    <font>
      <sz val="10"/>
      <name val="Arial"/>
      <family val="2"/>
    </font>
    <font>
      <b val="true"/>
      <sz val="9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1A7A6E"/>
        <bgColor rgb="FF0D5C52"/>
      </patternFill>
    </fill>
    <fill>
      <patternFill patternType="solid">
        <fgColor rgb="FFE2EFDA"/>
        <bgColor rgb="FFDEEAF1"/>
      </patternFill>
    </fill>
    <fill>
      <patternFill patternType="solid">
        <fgColor rgb="FF0D5C52"/>
        <bgColor rgb="FF1A7A6E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6E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D5C52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C9933A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8" min="3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4" t="s">
        <v>5</v>
      </c>
    </row>
    <row r="6" customFormat="false" ht="15" hidden="false" customHeight="false" outlineLevel="0" collapsed="false">
      <c r="B6" s="3" t="s">
        <v>6</v>
      </c>
      <c r="C6" s="4" t="s">
        <v>7</v>
      </c>
    </row>
    <row r="7" customFormat="false" ht="15" hidden="false" customHeight="false" outlineLevel="0" collapsed="false">
      <c r="B7" s="3" t="s">
        <v>8</v>
      </c>
      <c r="C7" s="5" t="n">
        <v>0.21</v>
      </c>
    </row>
    <row r="8" customFormat="false" ht="3.75" hidden="false" customHeight="true" outlineLevel="0" collapsed="false"/>
    <row r="9" customFormat="false" ht="15" hidden="false" customHeight="false" outlineLevel="0" collapsed="false">
      <c r="B9" s="6"/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 customFormat="false" ht="15" hidden="false" customHeight="false" outlineLevel="0" collapsed="false">
      <c r="B10" s="7" t="s">
        <v>14</v>
      </c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B11" s="8" t="s">
        <v>15</v>
      </c>
      <c r="C11" s="9" t="n">
        <v>0</v>
      </c>
      <c r="D11" s="9" t="n">
        <v>0</v>
      </c>
      <c r="E11" s="9" t="n">
        <v>0</v>
      </c>
      <c r="F11" s="10" t="n">
        <f aca="false">C11+D11+E11</f>
        <v>0</v>
      </c>
    </row>
    <row r="12" customFormat="false" ht="15" hidden="false" customHeight="false" outlineLevel="0" collapsed="false">
      <c r="B12" s="8" t="s">
        <v>16</v>
      </c>
      <c r="C12" s="9" t="n">
        <v>0</v>
      </c>
      <c r="D12" s="9" t="n">
        <v>0</v>
      </c>
      <c r="E12" s="9" t="n">
        <v>0</v>
      </c>
      <c r="F12" s="10" t="n">
        <f aca="false">C12+D12+E12</f>
        <v>0</v>
      </c>
    </row>
    <row r="13" customFormat="false" ht="15" hidden="false" customHeight="false" outlineLevel="0" collapsed="false">
      <c r="B13" s="11" t="s">
        <v>17</v>
      </c>
      <c r="C13" s="9" t="n">
        <v>0</v>
      </c>
      <c r="D13" s="9" t="n">
        <v>0</v>
      </c>
      <c r="E13" s="9" t="n">
        <v>0</v>
      </c>
      <c r="F13" s="10" t="n">
        <f aca="false">C13+D13+E13</f>
        <v>0</v>
      </c>
    </row>
    <row r="14" customFormat="false" ht="15" hidden="false" customHeight="false" outlineLevel="0" collapsed="false">
      <c r="B14" s="11" t="s">
        <v>18</v>
      </c>
      <c r="C14" s="9" t="n">
        <v>0</v>
      </c>
      <c r="D14" s="9" t="n">
        <v>0</v>
      </c>
      <c r="E14" s="9" t="n">
        <v>0</v>
      </c>
      <c r="F14" s="10" t="n">
        <f aca="false">C14+D14+E14</f>
        <v>0</v>
      </c>
    </row>
    <row r="15" customFormat="false" ht="15" hidden="false" customHeight="false" outlineLevel="0" collapsed="false">
      <c r="B15" s="11" t="s">
        <v>19</v>
      </c>
      <c r="C15" s="9" t="n">
        <v>0</v>
      </c>
      <c r="D15" s="9" t="n">
        <v>0</v>
      </c>
      <c r="E15" s="9" t="n">
        <v>0</v>
      </c>
      <c r="F15" s="10" t="n">
        <f aca="false">C15+D15+E15</f>
        <v>0</v>
      </c>
    </row>
    <row r="16" customFormat="false" ht="15" hidden="false" customHeight="false" outlineLevel="0" collapsed="false">
      <c r="B16" s="11" t="s">
        <v>20</v>
      </c>
      <c r="C16" s="9" t="n">
        <v>0</v>
      </c>
      <c r="D16" s="9" t="n">
        <v>0</v>
      </c>
      <c r="E16" s="9" t="n">
        <v>0</v>
      </c>
      <c r="F16" s="10" t="n">
        <f aca="false">C16+D16+E16</f>
        <v>0</v>
      </c>
    </row>
    <row r="17" customFormat="false" ht="15" hidden="false" customHeight="false" outlineLevel="0" collapsed="false">
      <c r="B17" s="11" t="s">
        <v>21</v>
      </c>
      <c r="C17" s="9" t="n">
        <v>0</v>
      </c>
      <c r="D17" s="9" t="n">
        <v>0</v>
      </c>
      <c r="E17" s="9" t="n">
        <v>0</v>
      </c>
      <c r="F17" s="10" t="n">
        <f aca="false">C17+D17+E17</f>
        <v>0</v>
      </c>
    </row>
    <row r="18" customFormat="false" ht="15" hidden="false" customHeight="false" outlineLevel="0" collapsed="false">
      <c r="B18" s="3" t="s">
        <v>22</v>
      </c>
      <c r="C18" s="12" t="n">
        <f aca="false">SUM(C13:C17)</f>
        <v>0</v>
      </c>
      <c r="D18" s="12" t="n">
        <f aca="false">SUM(D13:D17)</f>
        <v>0</v>
      </c>
      <c r="E18" s="12" t="n">
        <f aca="false">SUM(E13:E17)</f>
        <v>0</v>
      </c>
      <c r="F18" s="10" t="n">
        <f aca="false">C18+D18+E18</f>
        <v>0</v>
      </c>
    </row>
    <row r="19" customFormat="false" ht="15" hidden="false" customHeight="false" outlineLevel="0" collapsed="false">
      <c r="B19" s="8" t="s">
        <v>23</v>
      </c>
      <c r="C19" s="9" t="n">
        <v>0</v>
      </c>
      <c r="D19" s="9" t="n">
        <v>0</v>
      </c>
      <c r="E19" s="9" t="n">
        <v>0</v>
      </c>
      <c r="F19" s="10" t="n">
        <f aca="false">C19+D19+E19</f>
        <v>0</v>
      </c>
    </row>
    <row r="20" customFormat="false" ht="15" hidden="false" customHeight="false" outlineLevel="0" collapsed="false">
      <c r="B20" s="3" t="s">
        <v>24</v>
      </c>
      <c r="C20" s="12" t="n">
        <f aca="false">C11+C18+C19</f>
        <v>0</v>
      </c>
      <c r="D20" s="12" t="n">
        <f aca="false">D11+D18+D19</f>
        <v>0</v>
      </c>
      <c r="E20" s="12" t="n">
        <f aca="false">E11+E18+E19</f>
        <v>0</v>
      </c>
      <c r="F20" s="10" t="n">
        <f aca="false">C20+D20+E20</f>
        <v>0</v>
      </c>
    </row>
    <row r="21" customFormat="false" ht="15" hidden="false" customHeight="false" outlineLevel="0" collapsed="false">
      <c r="B21" s="8" t="s">
        <v>25</v>
      </c>
      <c r="C21" s="9" t="n">
        <v>0</v>
      </c>
      <c r="D21" s="9" t="n">
        <v>0</v>
      </c>
      <c r="E21" s="9" t="n">
        <v>0</v>
      </c>
      <c r="F21" s="10" t="n">
        <f aca="false">C21+D21+E21</f>
        <v>0</v>
      </c>
    </row>
    <row r="22" customFormat="false" ht="15" hidden="false" customHeight="false" outlineLevel="0" collapsed="false">
      <c r="B22" s="3" t="s">
        <v>26</v>
      </c>
      <c r="C22" s="12" t="n">
        <f aca="false">MAX(0,C20-C21)</f>
        <v>0</v>
      </c>
      <c r="D22" s="12" t="n">
        <f aca="false">MAX(0,D20-D21)</f>
        <v>0</v>
      </c>
      <c r="E22" s="12" t="n">
        <f aca="false">MAX(0,E20-E21)</f>
        <v>0</v>
      </c>
      <c r="F22" s="10" t="n">
        <f aca="false">C22+D22+E22</f>
        <v>0</v>
      </c>
    </row>
    <row r="24" customFormat="false" ht="15" hidden="false" customHeight="false" outlineLevel="0" collapsed="false">
      <c r="B24" s="3" t="s">
        <v>27</v>
      </c>
      <c r="C24" s="12" t="n">
        <f aca="false">C22*$C$7</f>
        <v>0</v>
      </c>
      <c r="D24" s="12"/>
      <c r="E24" s="12"/>
      <c r="F24" s="10" t="n">
        <f aca="false">C24+D24+E24</f>
        <v>0</v>
      </c>
    </row>
    <row r="25" customFormat="false" ht="15" hidden="false" customHeight="false" outlineLevel="0" collapsed="false">
      <c r="B25" s="3" t="s">
        <v>28</v>
      </c>
      <c r="C25" s="12"/>
      <c r="D25" s="12" t="n">
        <f aca="false">D22*0.05</f>
        <v>0</v>
      </c>
      <c r="E25" s="12"/>
      <c r="F25" s="10" t="n">
        <f aca="false">C25+D25+E25</f>
        <v>0</v>
      </c>
    </row>
    <row r="26" customFormat="false" ht="15" hidden="false" customHeight="false" outlineLevel="0" collapsed="false">
      <c r="B26" s="3" t="s">
        <v>29</v>
      </c>
      <c r="C26" s="12"/>
      <c r="D26" s="12"/>
      <c r="E26" s="12" t="n">
        <f aca="false">E22*0.21</f>
        <v>0</v>
      </c>
      <c r="F26" s="10" t="n">
        <f aca="false">C26+D26+E26</f>
        <v>0</v>
      </c>
    </row>
    <row r="27" customFormat="false" ht="15" hidden="false" customHeight="false" outlineLevel="0" collapsed="false">
      <c r="B27" s="8" t="s">
        <v>30</v>
      </c>
      <c r="C27" s="9" t="n">
        <v>0</v>
      </c>
      <c r="D27" s="9" t="n">
        <v>0</v>
      </c>
      <c r="E27" s="9" t="n">
        <v>0</v>
      </c>
      <c r="F27" s="10" t="n">
        <f aca="false">C27+D27+E27</f>
        <v>0</v>
      </c>
    </row>
    <row r="28" customFormat="false" ht="15" hidden="false" customHeight="false" outlineLevel="0" collapsed="false">
      <c r="B28" s="13" t="s">
        <v>31</v>
      </c>
      <c r="C28" s="14" t="n">
        <f aca="false">C24-C27</f>
        <v>0</v>
      </c>
      <c r="D28" s="14" t="n">
        <f aca="false">D25-D27</f>
        <v>0</v>
      </c>
      <c r="E28" s="14" t="n">
        <f aca="false">E26-E27</f>
        <v>0</v>
      </c>
      <c r="F28" s="15" t="n">
        <f aca="false">C28+D28+E28</f>
        <v>0</v>
      </c>
      <c r="G28" s="13"/>
    </row>
    <row r="29" customFormat="false" ht="6" hidden="false" customHeight="true" outlineLevel="0" collapsed="false"/>
    <row r="30" customFormat="false" ht="15" hidden="false" customHeight="false" outlineLevel="0" collapsed="false">
      <c r="B30" s="16" t="s">
        <v>32</v>
      </c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B31" s="17" t="s">
        <v>33</v>
      </c>
    </row>
    <row r="32" customFormat="false" ht="15" hidden="false" customHeight="false" outlineLevel="0" collapsed="false">
      <c r="B32" s="11" t="s">
        <v>34</v>
      </c>
      <c r="C32" s="9" t="n">
        <v>0</v>
      </c>
      <c r="D32" s="9" t="n">
        <v>0</v>
      </c>
      <c r="E32" s="9" t="n">
        <v>0</v>
      </c>
      <c r="F32" s="18" t="n">
        <f aca="false">C32+D32+E32</f>
        <v>0</v>
      </c>
    </row>
    <row r="33" customFormat="false" ht="15" hidden="false" customHeight="false" outlineLevel="0" collapsed="false">
      <c r="B33" s="11" t="s">
        <v>35</v>
      </c>
      <c r="C33" s="9" t="n">
        <v>0</v>
      </c>
      <c r="D33" s="9" t="n">
        <v>0</v>
      </c>
      <c r="E33" s="9" t="n">
        <v>0</v>
      </c>
      <c r="F33" s="18" t="n">
        <f aca="false">C33+D33+E33</f>
        <v>0</v>
      </c>
    </row>
    <row r="34" customFormat="false" ht="15" hidden="false" customHeight="false" outlineLevel="0" collapsed="false">
      <c r="B34" s="11" t="s">
        <v>36</v>
      </c>
      <c r="C34" s="9" t="n">
        <v>0</v>
      </c>
      <c r="D34" s="9" t="n">
        <v>0</v>
      </c>
      <c r="E34" s="9" t="n">
        <v>0</v>
      </c>
      <c r="F34" s="18" t="n">
        <f aca="false">C34+D34+E34</f>
        <v>0</v>
      </c>
    </row>
    <row r="35" customFormat="false" ht="15" hidden="false" customHeight="false" outlineLevel="0" collapsed="false">
      <c r="B35" s="11" t="s">
        <v>37</v>
      </c>
      <c r="C35" s="9" t="n">
        <v>0</v>
      </c>
      <c r="D35" s="9" t="n">
        <v>0</v>
      </c>
      <c r="E35" s="9" t="n">
        <v>0</v>
      </c>
      <c r="F35" s="18" t="n">
        <f aca="false">C35+D35+E35</f>
        <v>0</v>
      </c>
    </row>
    <row r="36" customFormat="false" ht="15" hidden="false" customHeight="false" outlineLevel="0" collapsed="false">
      <c r="B36" s="11" t="s">
        <v>38</v>
      </c>
      <c r="C36" s="9" t="n">
        <v>0</v>
      </c>
      <c r="D36" s="9" t="n">
        <v>0</v>
      </c>
      <c r="E36" s="9" t="n">
        <v>0</v>
      </c>
      <c r="F36" s="18" t="n">
        <f aca="false">C36+D36+E36</f>
        <v>0</v>
      </c>
    </row>
    <row r="37" customFormat="false" ht="15" hidden="false" customHeight="false" outlineLevel="0" collapsed="false">
      <c r="B37" s="11" t="s">
        <v>39</v>
      </c>
      <c r="C37" s="9" t="n">
        <v>0</v>
      </c>
      <c r="D37" s="9" t="n">
        <v>0</v>
      </c>
      <c r="E37" s="9" t="n">
        <v>0</v>
      </c>
      <c r="F37" s="18" t="n">
        <f aca="false">C37+D37+E37</f>
        <v>0</v>
      </c>
    </row>
    <row r="38" customFormat="false" ht="15" hidden="false" customHeight="false" outlineLevel="0" collapsed="false">
      <c r="B38" s="11" t="s">
        <v>40</v>
      </c>
      <c r="C38" s="9" t="n">
        <v>0</v>
      </c>
      <c r="D38" s="9" t="n">
        <v>0</v>
      </c>
      <c r="E38" s="9" t="n">
        <v>0</v>
      </c>
      <c r="F38" s="18" t="n">
        <f aca="false">C38+D38+E38</f>
        <v>0</v>
      </c>
    </row>
    <row r="39" customFormat="false" ht="15" hidden="false" customHeight="false" outlineLevel="0" collapsed="false">
      <c r="B39" s="11" t="s">
        <v>41</v>
      </c>
      <c r="C39" s="9" t="n">
        <v>0</v>
      </c>
      <c r="D39" s="9" t="n">
        <v>0</v>
      </c>
      <c r="E39" s="9" t="n">
        <v>0</v>
      </c>
      <c r="F39" s="18" t="n">
        <f aca="false">C39+D39+E39</f>
        <v>0</v>
      </c>
    </row>
    <row r="40" customFormat="false" ht="15" hidden="false" customHeight="false" outlineLevel="0" collapsed="false">
      <c r="B40" s="11" t="s">
        <v>42</v>
      </c>
      <c r="C40" s="9" t="n">
        <v>0</v>
      </c>
      <c r="D40" s="9" t="n">
        <v>0</v>
      </c>
      <c r="E40" s="9" t="n">
        <v>0</v>
      </c>
      <c r="F40" s="18" t="n">
        <f aca="false">C40+D40+E40</f>
        <v>0</v>
      </c>
    </row>
    <row r="41" customFormat="false" ht="15" hidden="false" customHeight="false" outlineLevel="0" collapsed="false">
      <c r="B41" s="11" t="s">
        <v>43</v>
      </c>
      <c r="C41" s="9" t="n">
        <v>0</v>
      </c>
      <c r="D41" s="9" t="n">
        <v>0</v>
      </c>
      <c r="E41" s="9" t="n">
        <v>0</v>
      </c>
      <c r="F41" s="18" t="n">
        <f aca="false">C41+D41+E41</f>
        <v>0</v>
      </c>
    </row>
    <row r="42" customFormat="false" ht="15" hidden="false" customHeight="false" outlineLevel="0" collapsed="false">
      <c r="B42" s="19" t="s">
        <v>44</v>
      </c>
      <c r="C42" s="20" t="n">
        <f aca="false">SUM(C32:C41)</f>
        <v>0</v>
      </c>
      <c r="D42" s="20" t="n">
        <f aca="false">SUM(D32:D41)</f>
        <v>0</v>
      </c>
      <c r="E42" s="20" t="n">
        <f aca="false">SUM(E32:E41)</f>
        <v>0</v>
      </c>
      <c r="F42" s="21" t="n">
        <f aca="false">C42+D42+E42</f>
        <v>0</v>
      </c>
      <c r="G42" s="19"/>
    </row>
    <row r="43" customFormat="false" ht="6" hidden="false" customHeight="true" outlineLevel="0" collapsed="false"/>
    <row r="44" customFormat="false" ht="15" hidden="false" customHeight="false" outlineLevel="0" collapsed="false">
      <c r="B44" s="22" t="s">
        <v>45</v>
      </c>
      <c r="C44" s="22"/>
      <c r="D44" s="22"/>
      <c r="E44" s="22"/>
      <c r="F44" s="22"/>
      <c r="G44" s="22"/>
      <c r="H44" s="22"/>
    </row>
    <row r="45" customFormat="false" ht="15" hidden="false" customHeight="false" outlineLevel="0" collapsed="false">
      <c r="B45" s="23" t="s">
        <v>46</v>
      </c>
      <c r="C45" s="24" t="n">
        <f aca="false">C28+C42</f>
        <v>0</v>
      </c>
      <c r="D45" s="24" t="n">
        <f aca="false">D28+D42</f>
        <v>0</v>
      </c>
      <c r="E45" s="24" t="n">
        <f aca="false">E28+E42</f>
        <v>0</v>
      </c>
      <c r="F45" s="24" t="n">
        <f aca="false">C45+D45+E45</f>
        <v>0</v>
      </c>
      <c r="G45" s="25"/>
    </row>
    <row r="46" customFormat="false" ht="15" hidden="false" customHeight="false" outlineLevel="0" collapsed="false">
      <c r="B46" s="26" t="s">
        <v>47</v>
      </c>
      <c r="F46" s="27" t="n">
        <f aca="false">IF(C11&lt;&gt;0,F45/C11,0)</f>
        <v>0</v>
      </c>
    </row>
  </sheetData>
  <sheetProtection sheet="true" password="c5ab"/>
  <mergeCells count="5">
    <mergeCell ref="A1:H1"/>
    <mergeCell ref="B2:H2"/>
    <mergeCell ref="B10:H10"/>
    <mergeCell ref="B30:H30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5"/>
  </cols>
  <sheetData>
    <row r="1" customFormat="false" ht="30" hidden="false" customHeight="true" outlineLevel="0" collapsed="false">
      <c r="A1" s="28" t="s">
        <v>48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false" outlineLevel="0" collapsed="false">
      <c r="B2" s="2" t="s">
        <v>49</v>
      </c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/>
    <row r="4" customFormat="false" ht="36" hidden="false" customHeight="true" outlineLevel="0" collapsed="false">
      <c r="B4" s="29" t="s">
        <v>50</v>
      </c>
      <c r="C4" s="29" t="s">
        <v>51</v>
      </c>
      <c r="D4" s="29" t="s">
        <v>52</v>
      </c>
      <c r="E4" s="29" t="s">
        <v>53</v>
      </c>
      <c r="F4" s="29" t="s">
        <v>54</v>
      </c>
      <c r="G4" s="29" t="s">
        <v>55</v>
      </c>
      <c r="H4" s="29" t="s">
        <v>56</v>
      </c>
      <c r="I4" s="29" t="s">
        <v>57</v>
      </c>
    </row>
    <row r="5" customFormat="false" ht="15" hidden="false" customHeight="false" outlineLevel="0" collapsed="false">
      <c r="B5" s="8" t="s">
        <v>58</v>
      </c>
      <c r="C5" s="30" t="n">
        <v>0</v>
      </c>
      <c r="D5" s="30" t="n">
        <v>0</v>
      </c>
      <c r="E5" s="30" t="n">
        <v>0</v>
      </c>
      <c r="F5" s="10" t="n">
        <f aca="false">C5+D5-E5</f>
        <v>0</v>
      </c>
      <c r="G5" s="5" t="n">
        <v>0.21</v>
      </c>
      <c r="H5" s="10" t="n">
        <f aca="false">F5*G5</f>
        <v>0</v>
      </c>
      <c r="I5" s="30" t="n">
        <v>0</v>
      </c>
    </row>
    <row r="6" customFormat="false" ht="15" hidden="false" customHeight="false" outlineLevel="0" collapsed="false">
      <c r="B6" s="8" t="s">
        <v>59</v>
      </c>
      <c r="C6" s="30" t="n">
        <v>0</v>
      </c>
      <c r="D6" s="30" t="n">
        <v>0</v>
      </c>
      <c r="E6" s="30" t="n">
        <v>0</v>
      </c>
      <c r="F6" s="10" t="n">
        <f aca="false">C6+D6-E6</f>
        <v>0</v>
      </c>
      <c r="G6" s="5" t="n">
        <v>0.21</v>
      </c>
      <c r="H6" s="10" t="n">
        <f aca="false">F6*G6</f>
        <v>0</v>
      </c>
      <c r="I6" s="30" t="n">
        <v>0</v>
      </c>
    </row>
    <row r="7" customFormat="false" ht="15" hidden="false" customHeight="false" outlineLevel="0" collapsed="false">
      <c r="B7" s="8" t="s">
        <v>60</v>
      </c>
      <c r="C7" s="30" t="n">
        <v>0</v>
      </c>
      <c r="D7" s="30" t="n">
        <v>0</v>
      </c>
      <c r="E7" s="30" t="n">
        <v>0</v>
      </c>
      <c r="F7" s="10" t="n">
        <f aca="false">C7+D7-E7</f>
        <v>0</v>
      </c>
      <c r="G7" s="5" t="n">
        <v>0.21</v>
      </c>
      <c r="H7" s="10" t="n">
        <f aca="false">F7*G7</f>
        <v>0</v>
      </c>
      <c r="I7" s="30" t="n">
        <v>0</v>
      </c>
    </row>
    <row r="8" customFormat="false" ht="15" hidden="false" customHeight="false" outlineLevel="0" collapsed="false">
      <c r="B8" s="8" t="s">
        <v>61</v>
      </c>
      <c r="C8" s="30" t="n">
        <v>0</v>
      </c>
      <c r="D8" s="30" t="n">
        <v>0</v>
      </c>
      <c r="E8" s="30" t="n">
        <v>0</v>
      </c>
      <c r="F8" s="10" t="n">
        <f aca="false">C8+D8-E8</f>
        <v>0</v>
      </c>
      <c r="G8" s="5" t="n">
        <v>0.21</v>
      </c>
      <c r="H8" s="10" t="n">
        <f aca="false">F8*G8</f>
        <v>0</v>
      </c>
      <c r="I8" s="30" t="n">
        <v>0</v>
      </c>
    </row>
    <row r="9" customFormat="false" ht="15" hidden="false" customHeight="false" outlineLevel="0" collapsed="false">
      <c r="B9" s="8" t="s">
        <v>62</v>
      </c>
      <c r="C9" s="30" t="n">
        <v>0</v>
      </c>
      <c r="D9" s="30" t="n">
        <v>0</v>
      </c>
      <c r="E9" s="30" t="n">
        <v>0</v>
      </c>
      <c r="F9" s="10" t="n">
        <f aca="false">C9+D9-E9</f>
        <v>0</v>
      </c>
      <c r="G9" s="5" t="n">
        <v>0.21</v>
      </c>
      <c r="H9" s="10" t="n">
        <f aca="false">F9*G9</f>
        <v>0</v>
      </c>
      <c r="I9" s="30" t="n">
        <v>0</v>
      </c>
    </row>
    <row r="10" customFormat="false" ht="15" hidden="false" customHeight="false" outlineLevel="0" collapsed="false">
      <c r="B10" s="8" t="s">
        <v>63</v>
      </c>
      <c r="C10" s="30" t="n">
        <v>0</v>
      </c>
      <c r="D10" s="30" t="n">
        <v>0</v>
      </c>
      <c r="E10" s="30" t="n">
        <v>0</v>
      </c>
      <c r="F10" s="10" t="n">
        <f aca="false">C10+D10-E10</f>
        <v>0</v>
      </c>
      <c r="G10" s="5" t="n">
        <v>0.21</v>
      </c>
      <c r="H10" s="10" t="n">
        <f aca="false">F10*G10</f>
        <v>0</v>
      </c>
      <c r="I10" s="30" t="n">
        <v>0</v>
      </c>
    </row>
    <row r="11" customFormat="false" ht="15" hidden="false" customHeight="false" outlineLevel="0" collapsed="false">
      <c r="B11" s="8" t="s">
        <v>64</v>
      </c>
      <c r="C11" s="30" t="n">
        <v>0</v>
      </c>
      <c r="D11" s="30" t="n">
        <v>0</v>
      </c>
      <c r="E11" s="30" t="n">
        <v>0</v>
      </c>
      <c r="F11" s="10" t="n">
        <f aca="false">C11+D11-E11</f>
        <v>0</v>
      </c>
      <c r="G11" s="5" t="n">
        <v>0.21</v>
      </c>
      <c r="H11" s="10" t="n">
        <f aca="false">F11*G11</f>
        <v>0</v>
      </c>
      <c r="I11" s="30" t="n">
        <v>0</v>
      </c>
    </row>
    <row r="12" customFormat="false" ht="15" hidden="false" customHeight="false" outlineLevel="0" collapsed="false">
      <c r="B12" s="8" t="s">
        <v>65</v>
      </c>
      <c r="C12" s="30" t="n">
        <v>0</v>
      </c>
      <c r="D12" s="30" t="n">
        <v>0</v>
      </c>
      <c r="E12" s="30" t="n">
        <v>0</v>
      </c>
      <c r="F12" s="10" t="n">
        <f aca="false">C12+D12-E12</f>
        <v>0</v>
      </c>
      <c r="G12" s="5" t="n">
        <v>0.21</v>
      </c>
      <c r="H12" s="10" t="n">
        <f aca="false">F12*G12</f>
        <v>0</v>
      </c>
      <c r="I12" s="30" t="n">
        <v>0</v>
      </c>
    </row>
    <row r="13" customFormat="false" ht="15" hidden="false" customHeight="false" outlineLevel="0" collapsed="false">
      <c r="B13" s="8" t="s">
        <v>66</v>
      </c>
      <c r="C13" s="30" t="n">
        <v>0</v>
      </c>
      <c r="D13" s="30" t="n">
        <v>0</v>
      </c>
      <c r="E13" s="30" t="n">
        <v>0</v>
      </c>
      <c r="F13" s="10" t="n">
        <f aca="false">C13+D13-E13</f>
        <v>0</v>
      </c>
      <c r="G13" s="5" t="n">
        <v>0.21</v>
      </c>
      <c r="H13" s="10" t="n">
        <f aca="false">F13*G13</f>
        <v>0</v>
      </c>
      <c r="I13" s="30" t="n">
        <v>0</v>
      </c>
    </row>
    <row r="14" customFormat="false" ht="15" hidden="false" customHeight="false" outlineLevel="0" collapsed="false">
      <c r="B14" s="8" t="s">
        <v>67</v>
      </c>
      <c r="C14" s="30" t="n">
        <v>0</v>
      </c>
      <c r="D14" s="30" t="n">
        <v>0</v>
      </c>
      <c r="E14" s="30" t="n">
        <v>0</v>
      </c>
      <c r="F14" s="10" t="n">
        <f aca="false">C14+D14-E14</f>
        <v>0</v>
      </c>
      <c r="G14" s="5" t="n">
        <v>0.21</v>
      </c>
      <c r="H14" s="10" t="n">
        <f aca="false">F14*G14</f>
        <v>0</v>
      </c>
      <c r="I14" s="30" t="n">
        <v>0</v>
      </c>
    </row>
    <row r="15" customFormat="false" ht="15" hidden="false" customHeight="false" outlineLevel="0" collapsed="false">
      <c r="B15" s="8" t="s">
        <v>68</v>
      </c>
      <c r="C15" s="30" t="n">
        <v>0</v>
      </c>
      <c r="D15" s="30" t="n">
        <v>0</v>
      </c>
      <c r="E15" s="30" t="n">
        <v>0</v>
      </c>
      <c r="F15" s="10" t="n">
        <f aca="false">C15+D15-E15</f>
        <v>0</v>
      </c>
      <c r="G15" s="5" t="n">
        <v>0.21</v>
      </c>
      <c r="H15" s="10" t="n">
        <f aca="false">F15*G15</f>
        <v>0</v>
      </c>
      <c r="I15" s="30" t="n">
        <v>0</v>
      </c>
    </row>
    <row r="16" customFormat="false" ht="15" hidden="false" customHeight="false" outlineLevel="0" collapsed="false">
      <c r="B16" s="8" t="s">
        <v>69</v>
      </c>
      <c r="C16" s="30" t="n">
        <v>0</v>
      </c>
      <c r="D16" s="30" t="n">
        <v>0</v>
      </c>
      <c r="E16" s="30" t="n">
        <v>0</v>
      </c>
      <c r="F16" s="10" t="n">
        <f aca="false">C16+D16-E16</f>
        <v>0</v>
      </c>
      <c r="G16" s="5" t="n">
        <v>0.21</v>
      </c>
      <c r="H16" s="10" t="n">
        <f aca="false">F16*G16</f>
        <v>0</v>
      </c>
      <c r="I16" s="30" t="n">
        <v>0</v>
      </c>
    </row>
    <row r="17" customFormat="false" ht="15" hidden="false" customHeight="false" outlineLevel="0" collapsed="false">
      <c r="B17" s="31" t="s">
        <v>70</v>
      </c>
      <c r="C17" s="24" t="n">
        <f aca="false">SUM(C5:C16)</f>
        <v>0</v>
      </c>
      <c r="D17" s="24" t="n">
        <f aca="false">SUM(D5:D16)</f>
        <v>0</v>
      </c>
      <c r="E17" s="24" t="n">
        <f aca="false">SUM(E5:E16)</f>
        <v>0</v>
      </c>
      <c r="F17" s="24" t="n">
        <f aca="false">SUM(F5:F16)</f>
        <v>0</v>
      </c>
      <c r="H17" s="24" t="n">
        <f aca="false">SUM(H5:H16)</f>
        <v>0</v>
      </c>
      <c r="I17" s="24" t="n">
        <f aca="false">SUM(I5:I16)</f>
        <v>0</v>
      </c>
    </row>
    <row r="18" customFormat="false" ht="15" hidden="false" customHeight="false" outlineLevel="0" collapsed="false">
      <c r="B18" s="26" t="s">
        <v>71</v>
      </c>
      <c r="H18" s="32" t="n">
        <f aca="false">H17-I17</f>
        <v>0</v>
      </c>
    </row>
  </sheetData>
  <sheetProtection sheet="true" password="c5ab"/>
  <mergeCells count="2">
    <mergeCell ref="A1:I1"/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30" hidden="false" customHeight="true" outlineLevel="0" collapsed="false">
      <c r="A1" s="28" t="s">
        <v>72</v>
      </c>
      <c r="B1" s="28"/>
      <c r="C1" s="28"/>
      <c r="D1" s="28"/>
      <c r="E1" s="28"/>
    </row>
    <row r="2" customFormat="false" ht="15" hidden="false" customHeight="false" outlineLevel="0" collapsed="false">
      <c r="B2" s="2" t="s">
        <v>73</v>
      </c>
      <c r="C2" s="2"/>
      <c r="D2" s="2"/>
      <c r="E2" s="2"/>
    </row>
    <row r="3" customFormat="false" ht="3.75" hidden="false" customHeight="true" outlineLevel="0" collapsed="false"/>
    <row r="4" customFormat="false" ht="15" hidden="false" customHeight="false" outlineLevel="0" collapsed="false">
      <c r="B4" s="6" t="s">
        <v>74</v>
      </c>
      <c r="C4" s="6" t="s">
        <v>75</v>
      </c>
      <c r="D4" s="6" t="s">
        <v>76</v>
      </c>
      <c r="E4" s="6" t="s">
        <v>13</v>
      </c>
    </row>
    <row r="5" customFormat="false" ht="15" hidden="false" customHeight="false" outlineLevel="0" collapsed="false">
      <c r="B5" s="3" t="s">
        <v>77</v>
      </c>
      <c r="C5" s="33" t="n">
        <v>0</v>
      </c>
    </row>
    <row r="6" customFormat="false" ht="15" hidden="false" customHeight="false" outlineLevel="0" collapsed="false">
      <c r="B6" s="3" t="s">
        <v>78</v>
      </c>
      <c r="C6" s="34" t="n">
        <f aca="false">C5*0.21</f>
        <v>0</v>
      </c>
      <c r="D6" s="35" t="n">
        <f aca="false">IF(C5&lt;&gt;0,C6/C5,0)</f>
        <v>0</v>
      </c>
    </row>
    <row r="7" customFormat="false" ht="15" hidden="false" customHeight="false" outlineLevel="0" collapsed="false">
      <c r="B7" s="8" t="s">
        <v>79</v>
      </c>
      <c r="C7" s="30" t="n">
        <v>0</v>
      </c>
      <c r="D7" s="36" t="n">
        <f aca="false">IF($C$5&lt;&gt;0,C7/$C$5,0)</f>
        <v>0</v>
      </c>
    </row>
    <row r="8" customFormat="false" ht="15" hidden="false" customHeight="false" outlineLevel="0" collapsed="false">
      <c r="B8" s="8" t="s">
        <v>80</v>
      </c>
      <c r="C8" s="30" t="n">
        <v>0</v>
      </c>
      <c r="D8" s="36" t="n">
        <f aca="false">IF($C$5&lt;&gt;0,C8/$C$5,0)</f>
        <v>0</v>
      </c>
    </row>
    <row r="9" customFormat="false" ht="15" hidden="false" customHeight="false" outlineLevel="0" collapsed="false">
      <c r="B9" s="8" t="s">
        <v>81</v>
      </c>
      <c r="C9" s="30" t="n">
        <v>0</v>
      </c>
      <c r="D9" s="36" t="n">
        <f aca="false">IF($C$5&lt;&gt;0,C9/$C$5,0)</f>
        <v>0</v>
      </c>
    </row>
    <row r="10" customFormat="false" ht="15" hidden="false" customHeight="false" outlineLevel="0" collapsed="false">
      <c r="B10" s="8" t="s">
        <v>82</v>
      </c>
      <c r="C10" s="30" t="n">
        <v>0</v>
      </c>
      <c r="D10" s="36" t="n">
        <f aca="false">IF($C$5&lt;&gt;0,C10/$C$5,0)</f>
        <v>0</v>
      </c>
    </row>
    <row r="11" customFormat="false" ht="15" hidden="false" customHeight="false" outlineLevel="0" collapsed="false">
      <c r="B11" s="8" t="s">
        <v>83</v>
      </c>
      <c r="C11" s="30" t="n">
        <v>0</v>
      </c>
      <c r="D11" s="36" t="n">
        <f aca="false">IF($C$5&lt;&gt;0,C11/$C$5,0)</f>
        <v>0</v>
      </c>
    </row>
    <row r="12" customFormat="false" ht="15" hidden="false" customHeight="false" outlineLevel="0" collapsed="false">
      <c r="B12" s="8" t="s">
        <v>84</v>
      </c>
      <c r="C12" s="30" t="n">
        <v>0</v>
      </c>
      <c r="D12" s="36" t="n">
        <f aca="false">IF($C$5&lt;&gt;0,C12/$C$5,0)</f>
        <v>0</v>
      </c>
    </row>
    <row r="13" customFormat="false" ht="15" hidden="false" customHeight="false" outlineLevel="0" collapsed="false">
      <c r="B13" s="8" t="s">
        <v>85</v>
      </c>
      <c r="C13" s="30" t="n">
        <v>0</v>
      </c>
      <c r="D13" s="36" t="n">
        <f aca="false">IF($C$5&lt;&gt;0,C13/$C$5,0)</f>
        <v>0</v>
      </c>
    </row>
    <row r="14" customFormat="false" ht="15" hidden="false" customHeight="false" outlineLevel="0" collapsed="false">
      <c r="B14" s="8" t="s">
        <v>86</v>
      </c>
      <c r="C14" s="30" t="n">
        <v>0</v>
      </c>
      <c r="D14" s="36" t="n">
        <f aca="false">IF($C$5&lt;&gt;0,C14/$C$5,0)</f>
        <v>0</v>
      </c>
    </row>
    <row r="15" customFormat="false" ht="15" hidden="false" customHeight="false" outlineLevel="0" collapsed="false">
      <c r="B15" s="8" t="s">
        <v>87</v>
      </c>
      <c r="C15" s="30" t="n">
        <v>0</v>
      </c>
      <c r="D15" s="36" t="n">
        <f aca="false">IF($C$5&lt;&gt;0,C15/$C$5,0)</f>
        <v>0</v>
      </c>
    </row>
    <row r="16" customFormat="false" ht="15" hidden="false" customHeight="false" outlineLevel="0" collapsed="false">
      <c r="B16" s="8" t="s">
        <v>88</v>
      </c>
      <c r="C16" s="30" t="n">
        <v>0</v>
      </c>
      <c r="D16" s="36" t="n">
        <f aca="false">IF($C$5&lt;&gt;0,C16/$C$5,0)</f>
        <v>0</v>
      </c>
    </row>
    <row r="17" customFormat="false" ht="15" hidden="false" customHeight="false" outlineLevel="0" collapsed="false">
      <c r="B17" s="8" t="s">
        <v>89</v>
      </c>
      <c r="C17" s="30" t="n">
        <v>0</v>
      </c>
      <c r="D17" s="36" t="n">
        <f aca="false">IF($C$5&lt;&gt;0,C17/$C$5,0)</f>
        <v>0</v>
      </c>
    </row>
    <row r="18" customFormat="false" ht="15" hidden="false" customHeight="false" outlineLevel="0" collapsed="false">
      <c r="B18" s="8" t="s">
        <v>90</v>
      </c>
      <c r="C18" s="30" t="n">
        <v>0</v>
      </c>
      <c r="D18" s="36" t="n">
        <f aca="false">IF($C$5&lt;&gt;0,C18/$C$5,0)</f>
        <v>0</v>
      </c>
    </row>
    <row r="19" customFormat="false" ht="15" hidden="false" customHeight="false" outlineLevel="0" collapsed="false">
      <c r="B19" s="23" t="s">
        <v>45</v>
      </c>
      <c r="C19" s="24" t="n">
        <f aca="false">C6+SUM(C7:C18)</f>
        <v>0</v>
      </c>
      <c r="D19" s="37" t="n">
        <f aca="false">IF($C$5&lt;&gt;0,C19/$C$5,0)</f>
        <v>0</v>
      </c>
      <c r="E19" s="25"/>
    </row>
    <row r="21" customFormat="false" ht="15" hidden="false" customHeight="false" outlineLevel="0" collapsed="false">
      <c r="B21" s="0" t="s">
        <v>91</v>
      </c>
      <c r="D21" s="36" t="n">
        <v>0.21</v>
      </c>
    </row>
    <row r="22" customFormat="false" ht="15" hidden="false" customHeight="false" outlineLevel="0" collapsed="false">
      <c r="B22" s="0" t="s">
        <v>92</v>
      </c>
      <c r="D22" s="38" t="n">
        <f aca="false">D19</f>
        <v>0</v>
      </c>
    </row>
    <row r="23" customFormat="false" ht="15" hidden="false" customHeight="false" outlineLevel="0" collapsed="false">
      <c r="B23" s="0" t="s">
        <v>93</v>
      </c>
      <c r="D23" s="36" t="n">
        <f aca="false">D22-D21</f>
        <v>-0.21</v>
      </c>
    </row>
  </sheetData>
  <sheetProtection sheet="true" password="c5ab"/>
  <mergeCells count="2">
    <mergeCell ref="A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2026-03-13T08:23:11Z</dcterms:created>
  <dc:creator>openpyxl</dc:creator>
  <dc:description/>
  <dc:language>en-US</dc:language>
  <cp:lastModifiedBy/>
  <dcterms:modified xsi:type="dcterms:W3CDTF">2026-03-13T08:23:11Z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