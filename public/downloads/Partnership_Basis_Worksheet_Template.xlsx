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ner Directory" sheetId="1" state="visible" r:id="rId3"/>
    <sheet name="2021" sheetId="2" state="visible" r:id="rId4"/>
    <sheet name="2022" sheetId="3" state="visible" r:id="rId5"/>
    <sheet name="2023" sheetId="4" state="visible" r:id="rId6"/>
    <sheet name="2024" sheetId="5" state="visible" r:id="rId7"/>
    <sheet name="2025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4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1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8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4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1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8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4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1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8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4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1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8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4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1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  <comment ref="C108" authorId="0">
      <text>
        <r>
          <rPr>
            <sz val="10"/>
            <rFont val="Arial"/>
            <family val="2"/>
          </rPr>
          <t xml:space="preserve">Enter TOTAL partnership liability (not individual partner share).</t>
        </r>
      </text>
    </comment>
  </commentList>
</comments>
</file>

<file path=xl/sharedStrings.xml><?xml version="1.0" encoding="utf-8"?>
<sst xmlns="http://schemas.openxmlformats.org/spreadsheetml/2006/main" count="796" uniqueCount="189">
  <si>
    <t xml:space="preserve">Sample Partnership LLC  —  Partnership Basis Workbook  |  2021–2025</t>
  </si>
  <si>
    <t xml:space="preserve">Partner Directory &amp; Opening Balances (01/01/2021).  Blue = inputs.  Green = cross-sheet links.  Gold = key figures.</t>
  </si>
  <si>
    <t xml:space="preserve">PARTNERSHIP INFORMATION</t>
  </si>
  <si>
    <t xml:space="preserve">Partnership Name</t>
  </si>
  <si>
    <t xml:space="preserve">Sample Partnership LLC</t>
  </si>
  <si>
    <t xml:space="preserve">EIN</t>
  </si>
  <si>
    <t xml:space="preserve">XX-XXXXXXX</t>
  </si>
  <si>
    <t xml:space="preserve">Tax Year End</t>
  </si>
  <si>
    <t xml:space="preserve">December 31</t>
  </si>
  <si>
    <t xml:space="preserve">Basis Method</t>
  </si>
  <si>
    <t xml:space="preserve">Tax Basis Method  (IRC §705 / Rev. Proc. 2020-13)</t>
  </si>
  <si>
    <t xml:space="preserve">Filing Form</t>
  </si>
  <si>
    <t xml:space="preserve">Form 1065</t>
  </si>
  <si>
    <t xml:space="preserve">Periods Covered</t>
  </si>
  <si>
    <t xml:space="preserve">2021 – 2025  (5 rolling years, one tab per year)</t>
  </si>
  <si>
    <t xml:space="preserve">PARTNER TABLE  —  Opening balances = 01/01/2021</t>
  </si>
  <si>
    <t xml:space="preserve">#</t>
  </si>
  <si>
    <t xml:space="preserve">Partner Name</t>
  </si>
  <si>
    <t xml:space="preserve">Entity Type</t>
  </si>
  <si>
    <t xml:space="preserve">Opening Tax
Basis (2021)</t>
  </si>
  <si>
    <t xml:space="preserve">Opening At-Risk
(2021)</t>
  </si>
  <si>
    <t xml:space="preserve">Opening
Recourse Share</t>
  </si>
  <si>
    <t xml:space="preserve">Opening
Nonrecourse Share</t>
  </si>
  <si>
    <t xml:space="preserve">Opening
QNRF Share</t>
  </si>
  <si>
    <t xml:space="preserve">Opening
QNRF Share
(§465(b)(6))</t>
  </si>
  <si>
    <t xml:space="preserve">ABC Management LLC</t>
  </si>
  <si>
    <t xml:space="preserve">General Partner (GP)</t>
  </si>
  <si>
    <t xml:space="preserve">Partner A</t>
  </si>
  <si>
    <t xml:space="preserve">Individual</t>
  </si>
  <si>
    <t xml:space="preserve">Partner B</t>
  </si>
  <si>
    <t xml:space="preserve">Partner C Trust</t>
  </si>
  <si>
    <t xml:space="preserve">Trust</t>
  </si>
  <si>
    <t xml:space="preserve">Partner D Trust</t>
  </si>
  <si>
    <t xml:space="preserve">⚠  Opening balances must tie to prior-year K-1s or formation documents.  Liability shares = each partner's allocated share (not total).</t>
  </si>
  <si>
    <t xml:space="preserve">Sample Partnership LLC  —  Tax Year 2021  (Period 1 of 5)</t>
  </si>
  <si>
    <t xml:space="preserve">Blue = inputs.  Green = cross-sheet links.  Gold = key figures.  Update ownership % table (Section A) if interests changed.</t>
  </si>
  <si>
    <t xml:space="preserve">SECTION A  |  OWNERSHIP TABLE  —  2021</t>
  </si>
  <si>
    <t xml:space="preserve">Nonrecourse liabilities allocated by Profit %.  Losses allocated by Loss %.  Capital % = economic ownership.</t>
  </si>
  <si>
    <t xml:space="preserve">Partner  /  Metric</t>
  </si>
  <si>
    <t xml:space="preserve">Check
(= 100%?)</t>
  </si>
  <si>
    <t xml:space="preserve">Status</t>
  </si>
  <si>
    <t xml:space="preserve">Active</t>
  </si>
  <si>
    <t xml:space="preserve">Capital %</t>
  </si>
  <si>
    <t xml:space="preserve">Profit %</t>
  </si>
  <si>
    <t xml:space="preserve">Loss %</t>
  </si>
  <si>
    <t xml:space="preserve">SECTION B  |  TAX BASIS WORKSHEET  —  IRC §705  /  Rev. Proc. 2020-13  —  2021</t>
  </si>
  <si>
    <t xml:space="preserve">K-1 box refs in each label.  Lines 4 &amp; 7 auto-linked from Section D.  §704(d): losses suspended when decreases exceed basis.</t>
  </si>
  <si>
    <t xml:space="preserve">Line Item  (K-1 Box Reference)</t>
  </si>
  <si>
    <t xml:space="preserve">Total</t>
  </si>
  <si>
    <t xml:space="preserve">1.  Basis at Beginning of Year</t>
  </si>
  <si>
    <t xml:space="preserve">INCREASES  (Lines 2–4)</t>
  </si>
  <si>
    <t xml:space="preserve">2a.  Cash contributions</t>
  </si>
  <si>
    <t xml:space="preserve">2b.  Property contributions  (adjusted tax basis, not FMV)</t>
  </si>
  <si>
    <t xml:space="preserve">Line 3  —  Distributive Share of Income / Gain  (K-1)</t>
  </si>
  <si>
    <t xml:space="preserve">3a.  Ordinary business income  (Box 1)</t>
  </si>
  <si>
    <t xml:space="preserve">3b.  Rental real estate / other net rental income  (Boxes 2–3)</t>
  </si>
  <si>
    <t xml:space="preserve">3c.  Guaranteed payments — services &amp; capital  (Boxes 4a, 4b)</t>
  </si>
  <si>
    <t xml:space="preserve">3d.  Interest, dividends, royalties  (Boxes 5, 6a–6c, 7)</t>
  </si>
  <si>
    <t xml:space="preserve">3e.  Net short-term capital gain  (Box 8)</t>
  </si>
  <si>
    <t xml:space="preserve">3f.  Net long-term / §1250 / collectibles gain  (Boxes 9a–9c)</t>
  </si>
  <si>
    <t xml:space="preserve">3g.  Net §1231 gain  (Box 10)</t>
  </si>
  <si>
    <t xml:space="preserve">3h.  Other income &amp; gain  (Box 11)</t>
  </si>
  <si>
    <t xml:space="preserve">3i.  Tax-exempt income  (Box 18, Code A)</t>
  </si>
  <si>
    <t xml:space="preserve">3j.  Excess depletion &amp; other increases  (Box 20T; other)</t>
  </si>
  <si>
    <t xml:space="preserve">  Line 3 Total — Income / Gain Subtotal</t>
  </si>
  <si>
    <t xml:space="preserve">Line 4  —  §752 Liability Increase  ← auto-linked from Section D</t>
  </si>
  <si>
    <t xml:space="preserve">4.  Net increase in share of partnership liabilities  (§752)</t>
  </si>
  <si>
    <t xml:space="preserve">TOTAL INCREASES  (2a + 2b + Line 3 + Line 4)</t>
  </si>
  <si>
    <t xml:space="preserve">DECREASES  (Lines 5–7)</t>
  </si>
  <si>
    <t xml:space="preserve">5a.  Cash distributions  (Box 19, Code A)</t>
  </si>
  <si>
    <t xml:space="preserve">5b.  Property distributions  (adjusted tax basis)  (Box 19, Code B)</t>
  </si>
  <si>
    <t xml:space="preserve">Line 6  —  Distributive Share of Deductions / Losses  (K-1)</t>
  </si>
  <si>
    <t xml:space="preserve">6a.  Ordinary business loss  (Box 1)</t>
  </si>
  <si>
    <t xml:space="preserve">6b.  Rental real estate / other net rental loss  (Boxes 2–3)</t>
  </si>
  <si>
    <t xml:space="preserve">6c.  Net short-term capital loss  (Box 8)</t>
  </si>
  <si>
    <t xml:space="preserve">6d.  Net long-term capital loss  (Box 9a)</t>
  </si>
  <si>
    <t xml:space="preserve">6e.  Net §1231 loss  (Box 10)</t>
  </si>
  <si>
    <t xml:space="preserve">6f.  Section 179 deduction  (Box 12)</t>
  </si>
  <si>
    <t xml:space="preserve">6g.  Charitable contributions  (Box 13A)</t>
  </si>
  <si>
    <t xml:space="preserve">6h.  Investment interest / §59(e)(2) / excess biz interest  (Box 13 B/C/K)</t>
  </si>
  <si>
    <t xml:space="preserve">6i.  Foreign taxes paid or accrued  (Box 13L)</t>
  </si>
  <si>
    <t xml:space="preserve">6j.  Nondeductible / non-capitalizable expenses  (Box 18C)</t>
  </si>
  <si>
    <t xml:space="preserve">6k.  Other losses &amp; deductions  (Box 11 / Box 13W / Box 20T; other)</t>
  </si>
  <si>
    <t xml:space="preserve">  Line 6 Total — Deductions / Losses Subtotal</t>
  </si>
  <si>
    <t xml:space="preserve">Line 7  —  §752 Liability Decrease  ← auto-linked from Section D</t>
  </si>
  <si>
    <t xml:space="preserve">7.  Net decrease in share of partnership liabilities  (§752)</t>
  </si>
  <si>
    <t xml:space="preserve">TOTAL DECREASES  (5a + 5b + Line 6 + Line 7)</t>
  </si>
  <si>
    <t xml:space="preserve">§704(d) LOSS LIMITATION</t>
  </si>
  <si>
    <t xml:space="preserve">8.  Pre-Limitation Adjusted Basis  (Line 1 + Increases − Decreases)</t>
  </si>
  <si>
    <t xml:space="preserve">9a.  §704(d) Suspended Losses  [excess of decreases over available basis]</t>
  </si>
  <si>
    <t xml:space="preserve">9b.  Prior-Year §704(d) Suspended Losses Restored / Utilized  (enter as positive)</t>
  </si>
  <si>
    <t xml:space="preserve">10.  Ending Tax Basis  —  December 31, 2021</t>
  </si>
  <si>
    <t xml:space="preserve">SECTION C  |  AT-RISK BASIS  —  IRC §465  —  2021</t>
  </si>
  <si>
    <t xml:space="preserve">At-risk = cash/property + recourse debt + QNRF.  Nonrecourse does NOT increase at-risk.  §465 applied after §704(d).</t>
  </si>
  <si>
    <t xml:space="preserve">Line Item</t>
  </si>
  <si>
    <t xml:space="preserve">1.  At-Risk Amount at Beginning of Year</t>
  </si>
  <si>
    <t xml:space="preserve">INCREASES</t>
  </si>
  <si>
    <t xml:space="preserve">2a.  Cash contributions  ← Section B Line 2a</t>
  </si>
  <si>
    <t xml:space="preserve">2b.  Property contributions  ← Section B Line 2b</t>
  </si>
  <si>
    <t xml:space="preserve">2c.  Recourse borrowings  ← Section D Recourse increases</t>
  </si>
  <si>
    <t xml:space="preserve">2d.  QNRF increase  ← Section D</t>
  </si>
  <si>
    <t xml:space="preserve">2e.  Distributive share of income/gain  ← Section B Line 3</t>
  </si>
  <si>
    <t xml:space="preserve">2f.  Other increases to at-risk amount</t>
  </si>
  <si>
    <t xml:space="preserve">  TOTAL INCREASES</t>
  </si>
  <si>
    <t xml:space="preserve">DECREASES</t>
  </si>
  <si>
    <t xml:space="preserve">3a.  Cash distributions  ← Section B Line 5a</t>
  </si>
  <si>
    <t xml:space="preserve">3b.  Property distributions  ← Section B Line 5b</t>
  </si>
  <si>
    <t xml:space="preserve">3c.  Recourse repayments  ← Section D Recourse decreases</t>
  </si>
  <si>
    <t xml:space="preserve">3d.  QNRF decrease  ← Section D</t>
  </si>
  <si>
    <t xml:space="preserve">3e.  Distributive share of deductions/losses  ← Section B Line 6</t>
  </si>
  <si>
    <t xml:space="preserve">3f.  Other decreases to at-risk amount</t>
  </si>
  <si>
    <t xml:space="preserve">  TOTAL DECREASES</t>
  </si>
  <si>
    <t xml:space="preserve">4.  Pre-Limitation At-Risk Amount</t>
  </si>
  <si>
    <t xml:space="preserve">§465 LOSS LIMITATION</t>
  </si>
  <si>
    <t xml:space="preserve">5a.  §465 Suspended Losses</t>
  </si>
  <si>
    <t xml:space="preserve">5b.  Prior-Year §465 Suspended Losses Restored  (enter as positive)</t>
  </si>
  <si>
    <t xml:space="preserve">6.  Ending At-Risk Amount  —  December 31, 2021</t>
  </si>
  <si>
    <t xml:space="preserve">7.  Effective Loss Limit  (lesser of Tax Basis &amp; At-Risk)</t>
  </si>
  <si>
    <t xml:space="preserve">SECTION D  |  LIABILITY SCHEDULE  —  IRC §752  —  2021</t>
  </si>
  <si>
    <t xml:space="preserve">Recourse §1.752-2: economic risk of loss.  Nonrecourse §1.752-3: allocated by Profit %.  QNRF §465(b)(6): real property.</t>
  </si>
  <si>
    <t xml:space="preserve">Item</t>
  </si>
  <si>
    <t xml:space="preserve">Total /
Sum Check</t>
  </si>
  <si>
    <t xml:space="preserve">RECOURSE  (§1.752-2 — Economic Risk of Loss)</t>
  </si>
  <si>
    <t xml:space="preserve">  Total Partnership Amount  (enter full liability)</t>
  </si>
  <si>
    <t xml:space="preserve">  (partner shares entered below)</t>
  </si>
  <si>
    <t xml:space="preserve">  Beginning of Year — Each Partner's Share</t>
  </si>
  <si>
    <t xml:space="preserve">  Increases in Share During Year</t>
  </si>
  <si>
    <t xml:space="preserve">  Decreases in Share During Year</t>
  </si>
  <si>
    <t xml:space="preserve">  End of Year — Each Partner's Share</t>
  </si>
  <si>
    <t xml:space="preserve">NONRECOURSE  (§1.752-3 — allocated by Profit %)</t>
  </si>
  <si>
    <t xml:space="preserve">QNRF  (§465(b)(6) — Qualified Nonrecourse Financing)</t>
  </si>
  <si>
    <t xml:space="preserve">NET §752 CHANGE  2021</t>
  </si>
  <si>
    <t xml:space="preserve">  End-of-Year Total Liability Share Per Partner</t>
  </si>
  <si>
    <t xml:space="preserve">  Beginning-of-Year Total Liability Share Per Partner</t>
  </si>
  <si>
    <t xml:space="preserve">  Net §752 Change  (positive → Line 4 increase;  negative → Line 7 decrease)</t>
  </si>
  <si>
    <t xml:space="preserve">Sample Partnership LLC  —  Tax Year 2022  (Period 2 of 5)</t>
  </si>
  <si>
    <t xml:space="preserve">SECTION A  |  OWNERSHIP TABLE  —  2022</t>
  </si>
  <si>
    <t xml:space="preserve">SECTION B  |  TAX BASIS WORKSHEET  —  IRC §705  /  Rev. Proc. 2020-13  —  2022</t>
  </si>
  <si>
    <t xml:space="preserve">9b.  Prior-Year §704(d) Suspended Losses Restored  ← auto from 2021</t>
  </si>
  <si>
    <t xml:space="preserve">10.  Ending Tax Basis  —  December 31, 2022</t>
  </si>
  <si>
    <t xml:space="preserve">SECTION C  |  AT-RISK BASIS  —  IRC §465  —  2022</t>
  </si>
  <si>
    <t xml:space="preserve">5b.  Prior-Year §465 Suspended Losses Restored  ← auto from 2021</t>
  </si>
  <si>
    <t xml:space="preserve">6.  Ending At-Risk Amount  —  December 31, 2022</t>
  </si>
  <si>
    <t xml:space="preserve">SECTION D  |  LIABILITY SCHEDULE  —  IRC §752  —  2022</t>
  </si>
  <si>
    <t xml:space="preserve">NET §752 CHANGE  2022</t>
  </si>
  <si>
    <t xml:space="preserve">Sample Partnership LLC  —  Tax Year 2023  (Period 3 of 5)</t>
  </si>
  <si>
    <t xml:space="preserve">SECTION A  |  OWNERSHIP TABLE  —  2023</t>
  </si>
  <si>
    <t xml:space="preserve">SECTION B  |  TAX BASIS WORKSHEET  —  IRC §705  /  Rev. Proc. 2020-13  —  2023</t>
  </si>
  <si>
    <t xml:space="preserve">9b.  Prior-Year §704(d) Suspended Losses Restored  ← auto from 2022</t>
  </si>
  <si>
    <t xml:space="preserve">10.  Ending Tax Basis  —  December 31, 2023</t>
  </si>
  <si>
    <t xml:space="preserve">SECTION C  |  AT-RISK BASIS  —  IRC §465  —  2023</t>
  </si>
  <si>
    <t xml:space="preserve">5b.  Prior-Year §465 Suspended Losses Restored  ← auto from 2022</t>
  </si>
  <si>
    <t xml:space="preserve">6.  Ending At-Risk Amount  —  December 31, 2023</t>
  </si>
  <si>
    <t xml:space="preserve">SECTION D  |  LIABILITY SCHEDULE  —  IRC §752  —  2023</t>
  </si>
  <si>
    <t xml:space="preserve">NET §752 CHANGE  2023</t>
  </si>
  <si>
    <t xml:space="preserve">Sample Partnership LLC  —  Tax Year 2024  (Period 4 of 5)</t>
  </si>
  <si>
    <t xml:space="preserve">SECTION A  |  OWNERSHIP TABLE  —  2024</t>
  </si>
  <si>
    <t xml:space="preserve">SECTION B  |  TAX BASIS WORKSHEET  —  IRC §705  /  Rev. Proc. 2020-13  —  2024</t>
  </si>
  <si>
    <t xml:space="preserve">9b.  Prior-Year §704(d) Suspended Losses Restored  ← auto from 2023</t>
  </si>
  <si>
    <t xml:space="preserve">10.  Ending Tax Basis  —  December 31, 2024</t>
  </si>
  <si>
    <t xml:space="preserve">SECTION C  |  AT-RISK BASIS  —  IRC §465  —  2024</t>
  </si>
  <si>
    <t xml:space="preserve">5b.  Prior-Year §465 Suspended Losses Restored  ← auto from 2023</t>
  </si>
  <si>
    <t xml:space="preserve">6.  Ending At-Risk Amount  —  December 31, 2024</t>
  </si>
  <si>
    <t xml:space="preserve">SECTION D  |  LIABILITY SCHEDULE  —  IRC §752  —  2024</t>
  </si>
  <si>
    <t xml:space="preserve">NET §752 CHANGE  2024</t>
  </si>
  <si>
    <t xml:space="preserve">Sample Partnership LLC  —  Tax Year 2025  (Period 5 of 5)</t>
  </si>
  <si>
    <t xml:space="preserve">SECTION A  |  OWNERSHIP TABLE  —  2025</t>
  </si>
  <si>
    <t xml:space="preserve">SECTION B  |  TAX BASIS WORKSHEET  —  IRC §705  /  Rev. Proc. 2020-13  —  2025</t>
  </si>
  <si>
    <t xml:space="preserve">9b.  Prior-Year §704(d) Suspended Losses Restored  ← auto from 2024</t>
  </si>
  <si>
    <t xml:space="preserve">10.  Ending Tax Basis  —  December 31, 2025</t>
  </si>
  <si>
    <t xml:space="preserve">SECTION C  |  AT-RISK BASIS  —  IRC §465  —  2025</t>
  </si>
  <si>
    <t xml:space="preserve">5b.  Prior-Year §465 Suspended Losses Restored  ← auto from 2024</t>
  </si>
  <si>
    <t xml:space="preserve">6.  Ending At-Risk Amount  —  December 31, 2025</t>
  </si>
  <si>
    <t xml:space="preserve">SECTION D  |  LIABILITY SCHEDULE  —  IRC §752  —  2025</t>
  </si>
  <si>
    <t xml:space="preserve">NET §752 CHANGE  2025</t>
  </si>
  <si>
    <t xml:space="preserve">Sample Partnership LLC  —  Summary Dashboard  |  2021–2025</t>
  </si>
  <si>
    <t xml:space="preserve">Auto-populated from each year tab.</t>
  </si>
  <si>
    <t xml:space="preserve">Metric</t>
  </si>
  <si>
    <t xml:space="preserve">2021  —  Period 1 of 5</t>
  </si>
  <si>
    <t xml:space="preserve">Ending Tax Basis  (§705, Line 10)</t>
  </si>
  <si>
    <t xml:space="preserve">Ending At-Risk  (§465, Line 6)</t>
  </si>
  <si>
    <t xml:space="preserve">Effective Loss Limit  (MIN of Basis &amp; At-Risk)</t>
  </si>
  <si>
    <t xml:space="preserve">Net §752 Liability Change</t>
  </si>
  <si>
    <t xml:space="preserve">  Capital %</t>
  </si>
  <si>
    <t xml:space="preserve">2022  —  Period 2 of 5</t>
  </si>
  <si>
    <t xml:space="preserve">2023  —  Period 3 of 5</t>
  </si>
  <si>
    <t xml:space="preserve">2024  —  Period 4 of 5</t>
  </si>
  <si>
    <t xml:space="preserve">2025  —  Period 5 of 5</t>
  </si>
  <si>
    <t xml:space="preserve">DISCLAIMER:  Template only — not tax advice.  Verify all K-1 allocations before entry.  Consult a qualified tax advisor.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</si>
</sst>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Playfair Display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843C0C"/>
      <name val="Arial"/>
      <family val="0"/>
      <charset val="1"/>
    </font>
    <font>
      <sz val="9"/>
      <color rgb="FFC9A227"/>
      <name val="Arial"/>
      <family val="0"/>
      <charset val="1"/>
    </font>
    <font>
      <b val="true"/>
      <sz val="9"/>
      <color rgb="FFC9A227"/>
      <name val="Arial"/>
      <family val="0"/>
      <charset val="1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4A7C59"/>
        <bgColor rgb="FF595959"/>
      </patternFill>
    </fill>
    <fill>
      <patternFill patternType="solid">
        <fgColor rgb="FF843C0C"/>
        <bgColor rgb="FFA63C0C"/>
      </patternFill>
    </fill>
    <fill>
      <patternFill patternType="solid">
        <fgColor rgb="FFA63C0C"/>
        <bgColor rgb="FF843C0C"/>
      </patternFill>
    </fill>
    <fill>
      <patternFill patternType="solid">
        <fgColor rgb="FFFCE4D6"/>
        <bgColor rgb="FFFFF2CC"/>
      </patternFill>
    </fill>
    <fill>
      <patternFill patternType="solid">
        <fgColor rgb="FF595959"/>
        <bgColor rgb="FF375623"/>
      </patternFill>
    </fill>
    <fill>
      <patternFill patternType="solid">
        <fgColor rgb="FFBDD7EE"/>
        <bgColor rgb="FF99CCFF"/>
      </patternFill>
    </fill>
    <fill>
      <patternFill patternType="solid">
        <fgColor rgb="FF7030A0"/>
        <bgColor rgb="FF333399"/>
      </patternFill>
    </fill>
    <fill>
      <patternFill patternType="solid">
        <fgColor rgb="FFEAD1DC"/>
        <bgColor rgb="FFFCE4D6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4A7C59"/>
      <rgbColor rgb="FF003300"/>
      <rgbColor rgb="FF333300"/>
      <rgbColor rgb="FFA63C0C"/>
      <rgbColor rgb="FF843C0C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10" min="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.75" hidden="false" customHeight="true" outlineLevel="0" collapsed="false"/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B5" s="4" t="s">
        <v>3</v>
      </c>
      <c r="C5" s="5" t="s">
        <v>4</v>
      </c>
      <c r="D5" s="5"/>
      <c r="E5" s="5"/>
      <c r="F5" s="5"/>
      <c r="G5" s="5"/>
      <c r="H5" s="5"/>
      <c r="I5" s="5"/>
      <c r="J5" s="5"/>
    </row>
    <row r="6" customFormat="false" ht="15.75" hidden="false" customHeight="true" outlineLevel="0" collapsed="false">
      <c r="B6" s="4" t="s">
        <v>5</v>
      </c>
      <c r="C6" s="5" t="s">
        <v>6</v>
      </c>
      <c r="D6" s="5"/>
      <c r="E6" s="5"/>
      <c r="F6" s="5"/>
      <c r="G6" s="5"/>
      <c r="H6" s="5"/>
      <c r="I6" s="5"/>
      <c r="J6" s="5"/>
    </row>
    <row r="7" customFormat="false" ht="15.75" hidden="false" customHeight="true" outlineLevel="0" collapsed="false">
      <c r="B7" s="4" t="s">
        <v>7</v>
      </c>
      <c r="C7" s="5" t="s">
        <v>8</v>
      </c>
      <c r="D7" s="5"/>
      <c r="E7" s="5"/>
      <c r="F7" s="5"/>
      <c r="G7" s="5"/>
      <c r="H7" s="5"/>
      <c r="I7" s="5"/>
      <c r="J7" s="5"/>
    </row>
    <row r="8" customFormat="false" ht="15.75" hidden="false" customHeight="true" outlineLevel="0" collapsed="false">
      <c r="B8" s="4" t="s">
        <v>9</v>
      </c>
      <c r="C8" s="5" t="s">
        <v>10</v>
      </c>
      <c r="D8" s="5"/>
      <c r="E8" s="5"/>
      <c r="F8" s="5"/>
      <c r="G8" s="5"/>
      <c r="H8" s="5"/>
      <c r="I8" s="5"/>
      <c r="J8" s="5"/>
    </row>
    <row r="9" customFormat="false" ht="15.75" hidden="false" customHeight="true" outlineLevel="0" collapsed="false">
      <c r="B9" s="4" t="s">
        <v>11</v>
      </c>
      <c r="C9" s="5" t="s">
        <v>12</v>
      </c>
      <c r="D9" s="5"/>
      <c r="E9" s="5"/>
      <c r="F9" s="5"/>
      <c r="G9" s="5"/>
      <c r="H9" s="5"/>
      <c r="I9" s="5"/>
      <c r="J9" s="5"/>
    </row>
    <row r="10" customFormat="false" ht="15.75" hidden="false" customHeight="true" outlineLevel="0" collapsed="false">
      <c r="B10" s="4" t="s">
        <v>13</v>
      </c>
      <c r="C10" s="5" t="s">
        <v>14</v>
      </c>
      <c r="D10" s="5"/>
      <c r="E10" s="5"/>
      <c r="F10" s="5"/>
      <c r="G10" s="5"/>
      <c r="H10" s="5"/>
      <c r="I10" s="5"/>
      <c r="J10" s="5"/>
    </row>
    <row r="11" customFormat="false" ht="3.75" hidden="false" customHeight="true" outlineLevel="0" collapsed="false"/>
    <row r="12" customFormat="false" ht="15" hidden="false" customHeight="false" outlineLevel="0" collapsed="false">
      <c r="B12" s="3" t="s">
        <v>15</v>
      </c>
      <c r="C12" s="3"/>
      <c r="D12" s="3"/>
      <c r="E12" s="3"/>
      <c r="F12" s="3"/>
      <c r="G12" s="3"/>
      <c r="H12" s="3"/>
      <c r="I12" s="3"/>
      <c r="J12" s="3"/>
    </row>
    <row r="13" customFormat="false" ht="31.5" hidden="false" customHeight="true" outlineLevel="0" collapsed="false">
      <c r="B13" s="6" t="s">
        <v>16</v>
      </c>
      <c r="C13" s="6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23</v>
      </c>
      <c r="J13" s="6" t="s">
        <v>24</v>
      </c>
    </row>
    <row r="14" customFormat="false" ht="21.75" hidden="false" customHeight="true" outlineLevel="0" collapsed="false">
      <c r="B14" s="7" t="n">
        <v>1</v>
      </c>
      <c r="C14" s="8" t="s">
        <v>25</v>
      </c>
      <c r="D14" s="8" t="s">
        <v>26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</row>
    <row r="15" customFormat="false" ht="21.75" hidden="false" customHeight="true" outlineLevel="0" collapsed="false">
      <c r="B15" s="7" t="n">
        <v>2</v>
      </c>
      <c r="C15" s="8" t="s">
        <v>27</v>
      </c>
      <c r="D15" s="8" t="s">
        <v>28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</row>
    <row r="16" customFormat="false" ht="21.75" hidden="false" customHeight="true" outlineLevel="0" collapsed="false">
      <c r="B16" s="7" t="n">
        <v>3</v>
      </c>
      <c r="C16" s="8" t="s">
        <v>29</v>
      </c>
      <c r="D16" s="8" t="s">
        <v>28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</row>
    <row r="17" customFormat="false" ht="21.75" hidden="false" customHeight="true" outlineLevel="0" collapsed="false">
      <c r="B17" s="7" t="n">
        <v>4</v>
      </c>
      <c r="C17" s="8" t="s">
        <v>30</v>
      </c>
      <c r="D17" s="8" t="s">
        <v>31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</row>
    <row r="18" customFormat="false" ht="21.75" hidden="false" customHeight="true" outlineLevel="0" collapsed="false">
      <c r="B18" s="7" t="n">
        <v>5</v>
      </c>
      <c r="C18" s="8" t="s">
        <v>32</v>
      </c>
      <c r="D18" s="8" t="s">
        <v>31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</row>
    <row r="19" customFormat="false" ht="3.75" hidden="false" customHeight="true" outlineLevel="0" collapsed="false"/>
    <row r="20" customFormat="false" ht="27.75" hidden="false" customHeight="true" outlineLevel="0" collapsed="false">
      <c r="B20" s="10" t="s">
        <v>33</v>
      </c>
      <c r="C20" s="10"/>
      <c r="D20" s="10"/>
      <c r="E20" s="10"/>
      <c r="F20" s="10"/>
      <c r="G20" s="10"/>
      <c r="H20" s="10"/>
      <c r="I20" s="10"/>
      <c r="J20" s="10"/>
    </row>
  </sheetData>
  <sheetProtection sheet="true" password="c466"/>
  <mergeCells count="11">
    <mergeCell ref="A1:J1"/>
    <mergeCell ref="A2:J2"/>
    <mergeCell ref="B4:J4"/>
    <mergeCell ref="C5:J5"/>
    <mergeCell ref="C6:J6"/>
    <mergeCell ref="C7:J7"/>
    <mergeCell ref="C8:J8"/>
    <mergeCell ref="C9:J9"/>
    <mergeCell ref="C10:J10"/>
    <mergeCell ref="B12:J12"/>
    <mergeCell ref="B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7" min="3" style="0" width="16"/>
    <col collapsed="false" customWidth="true" hidden="false" outlineLevel="0" max="8" min="8" style="0" width="15"/>
  </cols>
  <sheetData>
    <row r="1" customFormat="false" ht="27.75" hidden="false" customHeight="true" outlineLevel="0" collapsed="false">
      <c r="A1" s="11" t="s">
        <v>34</v>
      </c>
      <c r="B1" s="11"/>
      <c r="C1" s="11"/>
      <c r="D1" s="11"/>
      <c r="E1" s="11"/>
      <c r="F1" s="11"/>
      <c r="G1" s="11"/>
      <c r="H1" s="11"/>
    </row>
    <row r="2" customFormat="false" ht="18" hidden="false" customHeight="true" outlineLevel="0" collapsed="false">
      <c r="B2" s="2" t="s">
        <v>35</v>
      </c>
      <c r="C2" s="2"/>
      <c r="D2" s="2"/>
      <c r="E2" s="2"/>
      <c r="F2" s="2"/>
      <c r="G2" s="2"/>
      <c r="H2" s="2"/>
    </row>
    <row r="3" customFormat="false" ht="3.75" hidden="false" customHeight="true" outlineLevel="0" collapsed="false"/>
    <row r="4" customFormat="false" ht="15" hidden="false" customHeight="false" outlineLevel="0" collapsed="false">
      <c r="B4" s="3" t="s">
        <v>36</v>
      </c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37</v>
      </c>
      <c r="C5" s="2"/>
      <c r="D5" s="2"/>
      <c r="E5" s="2"/>
      <c r="F5" s="2"/>
      <c r="G5" s="2"/>
      <c r="H5" s="2"/>
    </row>
    <row r="6" customFormat="false" ht="30" hidden="false" customHeight="true" outlineLevel="0" collapsed="false">
      <c r="B6" s="12" t="s">
        <v>38</v>
      </c>
      <c r="C6" s="13" t="s">
        <v>25</v>
      </c>
      <c r="D6" s="13" t="s">
        <v>27</v>
      </c>
      <c r="E6" s="13" t="s">
        <v>29</v>
      </c>
      <c r="F6" s="13" t="s">
        <v>30</v>
      </c>
      <c r="G6" s="13" t="s">
        <v>32</v>
      </c>
      <c r="H6" s="13" t="s">
        <v>39</v>
      </c>
    </row>
    <row r="7" customFormat="false" ht="15" hidden="false" customHeight="false" outlineLevel="0" collapsed="false">
      <c r="B7" s="4" t="s">
        <v>18</v>
      </c>
      <c r="C7" s="7" t="s">
        <v>26</v>
      </c>
      <c r="D7" s="7" t="s">
        <v>28</v>
      </c>
      <c r="E7" s="7" t="s">
        <v>28</v>
      </c>
      <c r="F7" s="7" t="s">
        <v>31</v>
      </c>
      <c r="G7" s="7" t="s">
        <v>31</v>
      </c>
    </row>
    <row r="8" customFormat="false" ht="15" hidden="false" customHeight="false" outlineLevel="0" collapsed="false">
      <c r="B8" s="4" t="s">
        <v>40</v>
      </c>
      <c r="C8" s="14" t="s">
        <v>41</v>
      </c>
      <c r="D8" s="14" t="s">
        <v>41</v>
      </c>
      <c r="E8" s="14" t="s">
        <v>41</v>
      </c>
      <c r="F8" s="14" t="s">
        <v>41</v>
      </c>
      <c r="G8" s="14" t="s">
        <v>41</v>
      </c>
    </row>
    <row r="9" customFormat="false" ht="15" hidden="false" customHeight="false" outlineLevel="0" collapsed="false">
      <c r="B9" s="4" t="s">
        <v>42</v>
      </c>
      <c r="C9" s="15" t="n">
        <v>0.2</v>
      </c>
      <c r="D9" s="15" t="n">
        <v>0.2</v>
      </c>
      <c r="E9" s="15" t="n">
        <v>0.2</v>
      </c>
      <c r="F9" s="15" t="n">
        <v>0.2</v>
      </c>
      <c r="G9" s="15" t="n">
        <v>0.2</v>
      </c>
      <c r="H9" s="16" t="str">
        <f aca="false">IF(ABS(SUM(C9:G9)-1)&lt;0.0001,TEXT(SUM(C9:G9),"0.0%")&amp;" ✓",TEXT(SUM(C9:G9),"0.0%")&amp;" ⚠")</f>
        <v>100.0% ✓</v>
      </c>
    </row>
    <row r="10" customFormat="false" ht="15" hidden="false" customHeight="false" outlineLevel="0" collapsed="false">
      <c r="B10" s="4" t="s">
        <v>43</v>
      </c>
      <c r="C10" s="15" t="n">
        <v>0.2</v>
      </c>
      <c r="D10" s="15" t="n">
        <v>0.2</v>
      </c>
      <c r="E10" s="15" t="n">
        <v>0.2</v>
      </c>
      <c r="F10" s="15" t="n">
        <v>0.2</v>
      </c>
      <c r="G10" s="15" t="n">
        <v>0.2</v>
      </c>
      <c r="H10" s="16" t="str">
        <f aca="false">IF(ABS(SUM(C10:G10)-1)&lt;0.0001,TEXT(SUM(C10:G10),"0.0%")&amp;" ✓",TEXT(SUM(C10:G10),"0.0%")&amp;" ⚠")</f>
        <v>100.0% ✓</v>
      </c>
    </row>
    <row r="11" customFormat="false" ht="15" hidden="false" customHeight="false" outlineLevel="0" collapsed="false">
      <c r="B11" s="4" t="s">
        <v>44</v>
      </c>
      <c r="C11" s="15" t="n">
        <v>0.2</v>
      </c>
      <c r="D11" s="15" t="n">
        <v>0.2</v>
      </c>
      <c r="E11" s="15" t="n">
        <v>0.2</v>
      </c>
      <c r="F11" s="15" t="n">
        <v>0.2</v>
      </c>
      <c r="G11" s="15" t="n">
        <v>0.2</v>
      </c>
      <c r="H11" s="16" t="str">
        <f aca="false">IF(ABS(SUM(C11:G11)-1)&lt;0.0001,TEXT(SUM(C11:G11),"0.0%")&amp;" ✓",TEXT(SUM(C11:G11),"0.0%")&amp;" ⚠")</f>
        <v>100.0% ✓</v>
      </c>
    </row>
    <row r="12" customFormat="false" ht="3.75" hidden="false" customHeight="true" outlineLevel="0" collapsed="false"/>
    <row r="13" customFormat="false" ht="15" hidden="false" customHeight="false" outlineLevel="0" collapsed="false">
      <c r="B13" s="17" t="s">
        <v>45</v>
      </c>
      <c r="C13" s="17"/>
      <c r="D13" s="17"/>
      <c r="E13" s="17"/>
      <c r="F13" s="17"/>
      <c r="G13" s="17"/>
      <c r="H13" s="17"/>
    </row>
    <row r="14" customFormat="false" ht="19.5" hidden="false" customHeight="true" outlineLevel="0" collapsed="false">
      <c r="B14" s="18" t="s">
        <v>46</v>
      </c>
      <c r="C14" s="18"/>
      <c r="D14" s="18"/>
      <c r="E14" s="18"/>
      <c r="F14" s="18"/>
      <c r="G14" s="18"/>
      <c r="H14" s="18"/>
    </row>
    <row r="15" customFormat="false" ht="33.75" hidden="false" customHeight="true" outlineLevel="0" collapsed="false">
      <c r="B15" s="12" t="s">
        <v>47</v>
      </c>
      <c r="C15" s="13" t="s">
        <v>25</v>
      </c>
      <c r="D15" s="13" t="s">
        <v>27</v>
      </c>
      <c r="E15" s="13" t="s">
        <v>29</v>
      </c>
      <c r="F15" s="13" t="s">
        <v>30</v>
      </c>
      <c r="G15" s="13" t="s">
        <v>32</v>
      </c>
      <c r="H15" s="13" t="s">
        <v>48</v>
      </c>
    </row>
    <row r="16" customFormat="false" ht="3.75" hidden="false" customHeight="true" outlineLevel="0" collapsed="false"/>
    <row r="17" customFormat="false" ht="15" hidden="false" customHeight="false" outlineLevel="0" collapsed="false">
      <c r="B17" s="19" t="s">
        <v>49</v>
      </c>
      <c r="C17" s="20" t="n">
        <f aca="false">'Partner Directory'!E14</f>
        <v>0</v>
      </c>
      <c r="D17" s="20" t="n">
        <f aca="false">'Partner Directory'!E15</f>
        <v>0</v>
      </c>
      <c r="E17" s="20" t="n">
        <f aca="false">'Partner Directory'!E16</f>
        <v>0</v>
      </c>
      <c r="F17" s="20" t="n">
        <f aca="false">'Partner Directory'!E17</f>
        <v>0</v>
      </c>
      <c r="G17" s="20" t="n">
        <f aca="false">'Partner Directory'!E18</f>
        <v>0</v>
      </c>
      <c r="H17" s="21" t="n">
        <f aca="false">SUM(C17:G17)</f>
        <v>0</v>
      </c>
    </row>
    <row r="18" customFormat="false" ht="13.5" hidden="false" customHeight="true" outlineLevel="0" collapsed="false">
      <c r="B18" s="17" t="s">
        <v>50</v>
      </c>
      <c r="C18" s="17"/>
      <c r="D18" s="17"/>
      <c r="E18" s="17"/>
      <c r="F18" s="17"/>
      <c r="G18" s="17"/>
      <c r="H18" s="17"/>
    </row>
    <row r="19" customFormat="false" ht="15" hidden="false" customHeight="false" outlineLevel="0" collapsed="false">
      <c r="B19" s="8" t="s">
        <v>51</v>
      </c>
      <c r="C19" s="22" t="n">
        <v>0</v>
      </c>
      <c r="D19" s="22" t="n">
        <v>0</v>
      </c>
      <c r="E19" s="22" t="n">
        <v>0</v>
      </c>
      <c r="F19" s="22" t="n">
        <v>0</v>
      </c>
      <c r="G19" s="22" t="n">
        <v>0</v>
      </c>
      <c r="H19" s="23" t="n">
        <f aca="false">SUM(C19:G19)</f>
        <v>0</v>
      </c>
    </row>
    <row r="20" customFormat="false" ht="15" hidden="false" customHeight="false" outlineLevel="0" collapsed="false">
      <c r="B20" s="8" t="s">
        <v>52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3" t="n">
        <f aca="false">SUM(C20:G20)</f>
        <v>0</v>
      </c>
    </row>
    <row r="21" customFormat="false" ht="13.5" hidden="false" customHeight="true" outlineLevel="0" collapsed="false">
      <c r="B21" s="25" t="s">
        <v>53</v>
      </c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B22" s="8" t="s">
        <v>54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3" t="n">
        <f aca="false">SUM(C22:G22)</f>
        <v>0</v>
      </c>
    </row>
    <row r="23" customFormat="false" ht="15" hidden="false" customHeight="false" outlineLevel="0" collapsed="false">
      <c r="B23" s="8" t="s">
        <v>55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3" t="n">
        <f aca="false">SUM(C23:G23)</f>
        <v>0</v>
      </c>
    </row>
    <row r="24" customFormat="false" ht="15" hidden="false" customHeight="false" outlineLevel="0" collapsed="false">
      <c r="B24" s="8" t="s">
        <v>56</v>
      </c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0</v>
      </c>
      <c r="H24" s="23" t="n">
        <f aca="false">SUM(C24:G24)</f>
        <v>0</v>
      </c>
    </row>
    <row r="25" customFormat="false" ht="15" hidden="false" customHeight="false" outlineLevel="0" collapsed="false">
      <c r="B25" s="8" t="s">
        <v>57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3" t="n">
        <f aca="false">SUM(C25:G25)</f>
        <v>0</v>
      </c>
    </row>
    <row r="26" customFormat="false" ht="15" hidden="false" customHeight="false" outlineLevel="0" collapsed="false">
      <c r="B26" s="8" t="s">
        <v>58</v>
      </c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3" t="n">
        <f aca="false">SUM(C26:G26)</f>
        <v>0</v>
      </c>
    </row>
    <row r="27" customFormat="false" ht="15" hidden="false" customHeight="false" outlineLevel="0" collapsed="false">
      <c r="B27" s="8" t="s">
        <v>59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3" t="n">
        <f aca="false">SUM(C27:G27)</f>
        <v>0</v>
      </c>
    </row>
    <row r="28" customFormat="false" ht="15" hidden="false" customHeight="false" outlineLevel="0" collapsed="false">
      <c r="B28" s="8" t="s">
        <v>60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3" t="n">
        <f aca="false">SUM(C28:G28)</f>
        <v>0</v>
      </c>
    </row>
    <row r="29" customFormat="false" ht="15" hidden="false" customHeight="false" outlineLevel="0" collapsed="false">
      <c r="B29" s="8" t="s">
        <v>61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3" t="n">
        <f aca="false">SUM(C29:G29)</f>
        <v>0</v>
      </c>
    </row>
    <row r="30" customFormat="false" ht="15" hidden="false" customHeight="false" outlineLevel="0" collapsed="false">
      <c r="B30" s="8" t="s">
        <v>62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3" t="n">
        <f aca="false">SUM(C30:G30)</f>
        <v>0</v>
      </c>
    </row>
    <row r="31" customFormat="false" ht="15" hidden="false" customHeight="false" outlineLevel="0" collapsed="false">
      <c r="B31" s="8" t="s">
        <v>63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3" t="n">
        <f aca="false">SUM(C31:G31)</f>
        <v>0</v>
      </c>
    </row>
    <row r="32" customFormat="false" ht="15" hidden="false" customHeight="false" outlineLevel="0" collapsed="false">
      <c r="B32" s="26" t="s">
        <v>64</v>
      </c>
      <c r="C32" s="27" t="n">
        <f aca="false">SUM(C22:C31)</f>
        <v>0</v>
      </c>
      <c r="D32" s="27" t="n">
        <f aca="false">SUM(D22:D31)</f>
        <v>0</v>
      </c>
      <c r="E32" s="27" t="n">
        <f aca="false">SUM(E22:E31)</f>
        <v>0</v>
      </c>
      <c r="F32" s="27" t="n">
        <f aca="false">SUM(F22:F31)</f>
        <v>0</v>
      </c>
      <c r="G32" s="27" t="n">
        <f aca="false">SUM(G22:G31)</f>
        <v>0</v>
      </c>
      <c r="H32" s="21" t="n">
        <f aca="false">SUM(C32:G32)</f>
        <v>0</v>
      </c>
    </row>
    <row r="33" customFormat="false" ht="13.5" hidden="false" customHeight="true" outlineLevel="0" collapsed="false">
      <c r="B33" s="25" t="s">
        <v>65</v>
      </c>
      <c r="C33" s="25"/>
      <c r="D33" s="25"/>
      <c r="E33" s="25"/>
      <c r="F33" s="25"/>
      <c r="G33" s="25"/>
      <c r="H33" s="25"/>
    </row>
    <row r="34" customFormat="false" ht="15" hidden="false" customHeight="false" outlineLevel="0" collapsed="false">
      <c r="B34" s="28" t="s">
        <v>66</v>
      </c>
      <c r="C34" s="29" t="n">
        <f aca="false">MAX(0,C117)</f>
        <v>0</v>
      </c>
      <c r="D34" s="29" t="n">
        <f aca="false">MAX(0,D117)</f>
        <v>0</v>
      </c>
      <c r="E34" s="29" t="n">
        <f aca="false">MAX(0,E117)</f>
        <v>0</v>
      </c>
      <c r="F34" s="29" t="n">
        <f aca="false">MAX(0,F117)</f>
        <v>0</v>
      </c>
      <c r="G34" s="29" t="n">
        <f aca="false">MAX(0,G117)</f>
        <v>0</v>
      </c>
      <c r="H34" s="23" t="n">
        <f aca="false">SUM(C34:G34)</f>
        <v>0</v>
      </c>
    </row>
    <row r="35" customFormat="false" ht="15" hidden="false" customHeight="false" outlineLevel="0" collapsed="false">
      <c r="B35" s="26" t="s">
        <v>67</v>
      </c>
      <c r="C35" s="27" t="n">
        <f aca="false">C19+C20+C32+C34</f>
        <v>0</v>
      </c>
      <c r="D35" s="27" t="n">
        <f aca="false">D19+D20+D32+D34</f>
        <v>0</v>
      </c>
      <c r="E35" s="27" t="n">
        <f aca="false">E19+E20+E32+E34</f>
        <v>0</v>
      </c>
      <c r="F35" s="27" t="n">
        <f aca="false">F19+F20+F32+F34</f>
        <v>0</v>
      </c>
      <c r="G35" s="27" t="n">
        <f aca="false">G19+G20+G32+G34</f>
        <v>0</v>
      </c>
      <c r="H35" s="21" t="n">
        <f aca="false">SUM(C35:G35)</f>
        <v>0</v>
      </c>
    </row>
    <row r="36" customFormat="false" ht="13.5" hidden="false" customHeight="true" outlineLevel="0" collapsed="false">
      <c r="B36" s="30" t="s">
        <v>68</v>
      </c>
      <c r="C36" s="30"/>
      <c r="D36" s="30"/>
      <c r="E36" s="30"/>
      <c r="F36" s="30"/>
      <c r="G36" s="30"/>
      <c r="H36" s="30"/>
    </row>
    <row r="37" customFormat="false" ht="15" hidden="false" customHeight="false" outlineLevel="0" collapsed="false">
      <c r="B37" s="8" t="s">
        <v>69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3" t="n">
        <f aca="false">SUM(C37:G37)</f>
        <v>0</v>
      </c>
    </row>
    <row r="38" customFormat="false" ht="15" hidden="false" customHeight="false" outlineLevel="0" collapsed="false">
      <c r="B38" s="8" t="s">
        <v>70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3" t="n">
        <f aca="false">SUM(C38:G38)</f>
        <v>0</v>
      </c>
    </row>
    <row r="39" customFormat="false" ht="13.5" hidden="false" customHeight="true" outlineLevel="0" collapsed="false">
      <c r="B39" s="31" t="s">
        <v>71</v>
      </c>
      <c r="C39" s="31"/>
      <c r="D39" s="31"/>
      <c r="E39" s="31"/>
      <c r="F39" s="31"/>
      <c r="G39" s="31"/>
      <c r="H39" s="31"/>
    </row>
    <row r="40" customFormat="false" ht="15" hidden="false" customHeight="false" outlineLevel="0" collapsed="false">
      <c r="B40" s="8" t="s">
        <v>72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3" t="n">
        <f aca="false">SUM(C40:G40)</f>
        <v>0</v>
      </c>
    </row>
    <row r="41" customFormat="false" ht="15" hidden="false" customHeight="false" outlineLevel="0" collapsed="false">
      <c r="B41" s="8" t="s">
        <v>73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3" t="n">
        <f aca="false">SUM(C41:G41)</f>
        <v>0</v>
      </c>
    </row>
    <row r="42" customFormat="false" ht="15" hidden="false" customHeight="false" outlineLevel="0" collapsed="false">
      <c r="B42" s="8" t="s">
        <v>74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3" t="n">
        <f aca="false">SUM(C42:G42)</f>
        <v>0</v>
      </c>
    </row>
    <row r="43" customFormat="false" ht="15" hidden="false" customHeight="false" outlineLevel="0" collapsed="false">
      <c r="B43" s="8" t="s">
        <v>75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3" t="n">
        <f aca="false">SUM(C43:G43)</f>
        <v>0</v>
      </c>
    </row>
    <row r="44" customFormat="false" ht="15" hidden="false" customHeight="false" outlineLevel="0" collapsed="false">
      <c r="B44" s="8" t="s">
        <v>76</v>
      </c>
      <c r="C44" s="22" t="n">
        <v>0</v>
      </c>
      <c r="D44" s="22" t="n">
        <v>0</v>
      </c>
      <c r="E44" s="22" t="n">
        <v>0</v>
      </c>
      <c r="F44" s="22" t="n">
        <v>0</v>
      </c>
      <c r="G44" s="22" t="n">
        <v>0</v>
      </c>
      <c r="H44" s="23" t="n">
        <f aca="false">SUM(C44:G44)</f>
        <v>0</v>
      </c>
    </row>
    <row r="45" customFormat="false" ht="15" hidden="false" customHeight="false" outlineLevel="0" collapsed="false">
      <c r="B45" s="8" t="s">
        <v>77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3" t="n">
        <f aca="false">SUM(C45:G45)</f>
        <v>0</v>
      </c>
    </row>
    <row r="46" customFormat="false" ht="15" hidden="false" customHeight="false" outlineLevel="0" collapsed="false">
      <c r="B46" s="8" t="s">
        <v>78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3" t="n">
        <f aca="false">SUM(C46:G46)</f>
        <v>0</v>
      </c>
    </row>
    <row r="47" customFormat="false" ht="15" hidden="false" customHeight="false" outlineLevel="0" collapsed="false">
      <c r="B47" s="8" t="s">
        <v>79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3" t="n">
        <f aca="false">SUM(C47:G47)</f>
        <v>0</v>
      </c>
    </row>
    <row r="48" customFormat="false" ht="15" hidden="false" customHeight="false" outlineLevel="0" collapsed="false">
      <c r="B48" s="8" t="s">
        <v>80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3" t="n">
        <f aca="false">SUM(C48:G48)</f>
        <v>0</v>
      </c>
    </row>
    <row r="49" customFormat="false" ht="15" hidden="false" customHeight="false" outlineLevel="0" collapsed="false">
      <c r="B49" s="8" t="s">
        <v>81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3" t="n">
        <f aca="false">SUM(C49:G49)</f>
        <v>0</v>
      </c>
    </row>
    <row r="50" customFormat="false" ht="15" hidden="false" customHeight="false" outlineLevel="0" collapsed="false">
      <c r="B50" s="8" t="s">
        <v>82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3" t="n">
        <f aca="false">SUM(C50:G50)</f>
        <v>0</v>
      </c>
    </row>
    <row r="51" customFormat="false" ht="15" hidden="false" customHeight="false" outlineLevel="0" collapsed="false">
      <c r="B51" s="32" t="s">
        <v>83</v>
      </c>
      <c r="C51" s="27" t="n">
        <f aca="false">SUM(C40:C50)</f>
        <v>0</v>
      </c>
      <c r="D51" s="27" t="n">
        <f aca="false">SUM(D40:D50)</f>
        <v>0</v>
      </c>
      <c r="E51" s="27" t="n">
        <f aca="false">SUM(E40:E50)</f>
        <v>0</v>
      </c>
      <c r="F51" s="27" t="n">
        <f aca="false">SUM(F40:F50)</f>
        <v>0</v>
      </c>
      <c r="G51" s="27" t="n">
        <f aca="false">SUM(G40:G50)</f>
        <v>0</v>
      </c>
      <c r="H51" s="21" t="n">
        <f aca="false">SUM(C51:G51)</f>
        <v>0</v>
      </c>
    </row>
    <row r="52" customFormat="false" ht="13.5" hidden="false" customHeight="true" outlineLevel="0" collapsed="false">
      <c r="B52" s="31" t="s">
        <v>84</v>
      </c>
      <c r="C52" s="31"/>
      <c r="D52" s="31"/>
      <c r="E52" s="31"/>
      <c r="F52" s="31"/>
      <c r="G52" s="31"/>
      <c r="H52" s="31"/>
    </row>
    <row r="53" customFormat="false" ht="15" hidden="false" customHeight="false" outlineLevel="0" collapsed="false">
      <c r="B53" s="28" t="s">
        <v>85</v>
      </c>
      <c r="C53" s="29" t="n">
        <f aca="false">MAX(0,-C117)</f>
        <v>-0</v>
      </c>
      <c r="D53" s="29" t="n">
        <f aca="false">MAX(0,-D117)</f>
        <v>-0</v>
      </c>
      <c r="E53" s="29" t="n">
        <f aca="false">MAX(0,-E117)</f>
        <v>-0</v>
      </c>
      <c r="F53" s="29" t="n">
        <f aca="false">MAX(0,-F117)</f>
        <v>-0</v>
      </c>
      <c r="G53" s="29" t="n">
        <f aca="false">MAX(0,-G117)</f>
        <v>-0</v>
      </c>
      <c r="H53" s="23" t="n">
        <f aca="false">SUM(C53:G53)</f>
        <v>0</v>
      </c>
    </row>
    <row r="54" customFormat="false" ht="15" hidden="false" customHeight="false" outlineLevel="0" collapsed="false">
      <c r="B54" s="32" t="s">
        <v>86</v>
      </c>
      <c r="C54" s="27" t="n">
        <f aca="false">C37+C38+C51+C53</f>
        <v>0</v>
      </c>
      <c r="D54" s="27" t="n">
        <f aca="false">D37+D38+D51+D53</f>
        <v>0</v>
      </c>
      <c r="E54" s="27" t="n">
        <f aca="false">E37+E38+E51+E53</f>
        <v>0</v>
      </c>
      <c r="F54" s="27" t="n">
        <f aca="false">F37+F38+F51+F53</f>
        <v>0</v>
      </c>
      <c r="G54" s="27" t="n">
        <f aca="false">G37+G38+G51+G53</f>
        <v>0</v>
      </c>
      <c r="H54" s="21" t="n">
        <f aca="false">SUM(C54:G54)</f>
        <v>0</v>
      </c>
    </row>
    <row r="55" customFormat="false" ht="13.5" hidden="false" customHeight="true" outlineLevel="0" collapsed="false">
      <c r="B55" s="33" t="s">
        <v>87</v>
      </c>
      <c r="C55" s="33"/>
      <c r="D55" s="33"/>
      <c r="E55" s="33"/>
      <c r="F55" s="33"/>
      <c r="G55" s="33"/>
      <c r="H55" s="33"/>
    </row>
    <row r="56" customFormat="false" ht="15" hidden="false" customHeight="false" outlineLevel="0" collapsed="false">
      <c r="B56" s="34" t="s">
        <v>88</v>
      </c>
      <c r="C56" s="29" t="n">
        <f aca="false">C17+C35-C54</f>
        <v>0</v>
      </c>
      <c r="D56" s="29" t="n">
        <f aca="false">D17+D35-D54</f>
        <v>0</v>
      </c>
      <c r="E56" s="29" t="n">
        <f aca="false">E17+E35-E54</f>
        <v>0</v>
      </c>
      <c r="F56" s="29" t="n">
        <f aca="false">F17+F35-F54</f>
        <v>0</v>
      </c>
      <c r="G56" s="29" t="n">
        <f aca="false">G17+G35-G54</f>
        <v>0</v>
      </c>
      <c r="H56" s="23" t="n">
        <f aca="false">SUM(C56:G56)</f>
        <v>0</v>
      </c>
    </row>
    <row r="57" customFormat="false" ht="15" hidden="false" customHeight="false" outlineLevel="0" collapsed="false">
      <c r="B57" s="35" t="s">
        <v>89</v>
      </c>
      <c r="C57" s="29" t="n">
        <f aca="false">MAX(0,-C56)</f>
        <v>-0</v>
      </c>
      <c r="D57" s="29" t="n">
        <f aca="false">MAX(0,-D56)</f>
        <v>-0</v>
      </c>
      <c r="E57" s="29" t="n">
        <f aca="false">MAX(0,-E56)</f>
        <v>-0</v>
      </c>
      <c r="F57" s="29" t="n">
        <f aca="false">MAX(0,-F56)</f>
        <v>-0</v>
      </c>
      <c r="G57" s="29" t="n">
        <f aca="false">MAX(0,-G56)</f>
        <v>-0</v>
      </c>
      <c r="H57" s="23" t="n">
        <f aca="false">SUM(C57:G57)</f>
        <v>0</v>
      </c>
    </row>
    <row r="58" customFormat="false" ht="15" hidden="false" customHeight="false" outlineLevel="0" collapsed="false">
      <c r="B58" s="8" t="s">
        <v>90</v>
      </c>
      <c r="C58" s="24" t="n">
        <v>0</v>
      </c>
      <c r="D58" s="24" t="n">
        <v>0</v>
      </c>
      <c r="E58" s="24" t="n">
        <v>0</v>
      </c>
      <c r="F58" s="24" t="n">
        <v>0</v>
      </c>
      <c r="G58" s="24" t="n">
        <v>0</v>
      </c>
      <c r="H58" s="23" t="n">
        <f aca="false">SUM(C58:G58)</f>
        <v>0</v>
      </c>
    </row>
    <row r="59" customFormat="false" ht="18" hidden="false" customHeight="true" outlineLevel="0" collapsed="false">
      <c r="B59" s="36" t="s">
        <v>91</v>
      </c>
      <c r="C59" s="27" t="n">
        <f aca="false">MAX(0,C56)-C58</f>
        <v>0</v>
      </c>
      <c r="D59" s="27" t="n">
        <f aca="false">MAX(0,D56)-D58</f>
        <v>0</v>
      </c>
      <c r="E59" s="27" t="n">
        <f aca="false">MAX(0,E56)-E58</f>
        <v>0</v>
      </c>
      <c r="F59" s="27" t="n">
        <f aca="false">MAX(0,F56)-F58</f>
        <v>0</v>
      </c>
      <c r="G59" s="27" t="n">
        <f aca="false">MAX(0,G56)-G58</f>
        <v>0</v>
      </c>
      <c r="H59" s="21" t="n">
        <f aca="false">SUM(C59:G59)</f>
        <v>0</v>
      </c>
    </row>
    <row r="60" customFormat="false" ht="3.75" hidden="false" customHeight="true" outlineLevel="0" collapsed="false"/>
    <row r="61" customFormat="false" ht="15" hidden="false" customHeight="false" outlineLevel="0" collapsed="false">
      <c r="B61" s="37" t="s">
        <v>92</v>
      </c>
      <c r="C61" s="37"/>
      <c r="D61" s="37"/>
      <c r="E61" s="37"/>
      <c r="F61" s="37"/>
      <c r="G61" s="37"/>
      <c r="H61" s="37"/>
    </row>
    <row r="62" customFormat="false" ht="19.5" hidden="false" customHeight="true" outlineLevel="0" collapsed="false">
      <c r="B62" s="38" t="s">
        <v>93</v>
      </c>
      <c r="C62" s="38"/>
      <c r="D62" s="38"/>
      <c r="E62" s="38"/>
      <c r="F62" s="38"/>
      <c r="G62" s="38"/>
      <c r="H62" s="38"/>
    </row>
    <row r="63" customFormat="false" ht="33.75" hidden="false" customHeight="true" outlineLevel="0" collapsed="false">
      <c r="B63" s="12" t="s">
        <v>94</v>
      </c>
      <c r="C63" s="13" t="s">
        <v>25</v>
      </c>
      <c r="D63" s="13" t="s">
        <v>27</v>
      </c>
      <c r="E63" s="13" t="s">
        <v>29</v>
      </c>
      <c r="F63" s="13" t="s">
        <v>30</v>
      </c>
      <c r="G63" s="13" t="s">
        <v>32</v>
      </c>
      <c r="H63" s="12" t="s">
        <v>48</v>
      </c>
    </row>
    <row r="64" customFormat="false" ht="3.75" hidden="false" customHeight="true" outlineLevel="0" collapsed="false"/>
    <row r="65" customFormat="false" ht="15" hidden="false" customHeight="false" outlineLevel="0" collapsed="false">
      <c r="B65" s="19" t="s">
        <v>95</v>
      </c>
      <c r="C65" s="20" t="n">
        <f aca="false">'Partner Directory'!F14</f>
        <v>0</v>
      </c>
      <c r="D65" s="20" t="n">
        <f aca="false">'Partner Directory'!F15</f>
        <v>0</v>
      </c>
      <c r="E65" s="20" t="n">
        <f aca="false">'Partner Directory'!F16</f>
        <v>0</v>
      </c>
      <c r="F65" s="20" t="n">
        <f aca="false">'Partner Directory'!F17</f>
        <v>0</v>
      </c>
      <c r="G65" s="20" t="n">
        <f aca="false">'Partner Directory'!F18</f>
        <v>0</v>
      </c>
      <c r="H65" s="21" t="n">
        <f aca="false">SUM(C65:G65)</f>
        <v>0</v>
      </c>
    </row>
    <row r="66" customFormat="false" ht="13.5" hidden="false" customHeight="true" outlineLevel="0" collapsed="false">
      <c r="B66" s="17" t="s">
        <v>96</v>
      </c>
      <c r="C66" s="17"/>
      <c r="D66" s="17"/>
      <c r="E66" s="17"/>
      <c r="F66" s="17"/>
      <c r="G66" s="17"/>
      <c r="H66" s="17"/>
    </row>
    <row r="67" customFormat="false" ht="15" hidden="false" customHeight="false" outlineLevel="0" collapsed="false">
      <c r="B67" s="35" t="s">
        <v>97</v>
      </c>
      <c r="C67" s="29" t="n">
        <f aca="false">C19</f>
        <v>0</v>
      </c>
      <c r="D67" s="29" t="n">
        <f aca="false">D19</f>
        <v>0</v>
      </c>
      <c r="E67" s="29" t="n">
        <f aca="false">E19</f>
        <v>0</v>
      </c>
      <c r="F67" s="29" t="n">
        <f aca="false">F19</f>
        <v>0</v>
      </c>
      <c r="G67" s="29" t="n">
        <f aca="false">G19</f>
        <v>0</v>
      </c>
      <c r="H67" s="23" t="n">
        <f aca="false">SUM(C67:G67)</f>
        <v>0</v>
      </c>
    </row>
    <row r="68" customFormat="false" ht="15" hidden="false" customHeight="false" outlineLevel="0" collapsed="false">
      <c r="B68" s="35" t="s">
        <v>98</v>
      </c>
      <c r="C68" s="29" t="n">
        <f aca="false">C20</f>
        <v>0</v>
      </c>
      <c r="D68" s="29" t="n">
        <f aca="false">D20</f>
        <v>0</v>
      </c>
      <c r="E68" s="29" t="n">
        <f aca="false">E20</f>
        <v>0</v>
      </c>
      <c r="F68" s="29" t="n">
        <f aca="false">F20</f>
        <v>0</v>
      </c>
      <c r="G68" s="29" t="n">
        <f aca="false">G20</f>
        <v>0</v>
      </c>
      <c r="H68" s="23" t="n">
        <f aca="false">SUM(C68:G68)</f>
        <v>0</v>
      </c>
    </row>
    <row r="69" customFormat="false" ht="15" hidden="false" customHeight="false" outlineLevel="0" collapsed="false">
      <c r="B69" s="35" t="s">
        <v>99</v>
      </c>
      <c r="C69" s="29" t="n">
        <f aca="false">C96</f>
        <v>0</v>
      </c>
      <c r="D69" s="29" t="n">
        <f aca="false">D96</f>
        <v>0</v>
      </c>
      <c r="E69" s="29" t="n">
        <f aca="false">E96</f>
        <v>0</v>
      </c>
      <c r="F69" s="29" t="n">
        <f aca="false">F96</f>
        <v>0</v>
      </c>
      <c r="G69" s="29" t="n">
        <f aca="false">G96</f>
        <v>0</v>
      </c>
      <c r="H69" s="23" t="n">
        <f aca="false">SUM(C69:G69)</f>
        <v>0</v>
      </c>
    </row>
    <row r="70" customFormat="false" ht="15" hidden="false" customHeight="false" outlineLevel="0" collapsed="false">
      <c r="B70" s="35" t="s">
        <v>100</v>
      </c>
      <c r="C70" s="39" t="n">
        <f aca="false">MAX(0,C112-'Partner Directory'!J14)</f>
        <v>0</v>
      </c>
      <c r="D70" s="39" t="n">
        <f aca="false">MAX(0,D112-'Partner Directory'!J15)</f>
        <v>0</v>
      </c>
      <c r="E70" s="39" t="n">
        <f aca="false">MAX(0,E112-'Partner Directory'!J16)</f>
        <v>0</v>
      </c>
      <c r="F70" s="39" t="n">
        <f aca="false">MAX(0,F112-'Partner Directory'!J17)</f>
        <v>0</v>
      </c>
      <c r="G70" s="39" t="n">
        <f aca="false">MAX(0,G112-'Partner Directory'!J18)</f>
        <v>0</v>
      </c>
      <c r="H70" s="23" t="n">
        <f aca="false">SUM(C70:G70)</f>
        <v>0</v>
      </c>
    </row>
    <row r="71" customFormat="false" ht="15" hidden="false" customHeight="false" outlineLevel="0" collapsed="false">
      <c r="B71" s="35" t="s">
        <v>101</v>
      </c>
      <c r="C71" s="29" t="n">
        <f aca="false">C32</f>
        <v>0</v>
      </c>
      <c r="D71" s="29" t="n">
        <f aca="false">D32</f>
        <v>0</v>
      </c>
      <c r="E71" s="29" t="n">
        <f aca="false">E32</f>
        <v>0</v>
      </c>
      <c r="F71" s="29" t="n">
        <f aca="false">F32</f>
        <v>0</v>
      </c>
      <c r="G71" s="29" t="n">
        <f aca="false">G32</f>
        <v>0</v>
      </c>
      <c r="H71" s="23" t="n">
        <f aca="false">SUM(C71:G71)</f>
        <v>0</v>
      </c>
    </row>
    <row r="72" customFormat="false" ht="15" hidden="false" customHeight="false" outlineLevel="0" collapsed="false">
      <c r="B72" s="8" t="s">
        <v>102</v>
      </c>
      <c r="C72" s="22" t="n">
        <v>0</v>
      </c>
      <c r="D72" s="22" t="n">
        <v>0</v>
      </c>
      <c r="E72" s="22" t="n">
        <v>0</v>
      </c>
      <c r="F72" s="22" t="n">
        <v>0</v>
      </c>
      <c r="G72" s="22" t="n">
        <v>0</v>
      </c>
      <c r="H72" s="23" t="n">
        <f aca="false">SUM(C72:G72)</f>
        <v>0</v>
      </c>
    </row>
    <row r="73" customFormat="false" ht="15" hidden="false" customHeight="false" outlineLevel="0" collapsed="false">
      <c r="B73" s="26" t="s">
        <v>103</v>
      </c>
      <c r="C73" s="27" t="n">
        <f aca="false">C67+C68+C69+C70+C71+C72</f>
        <v>0</v>
      </c>
      <c r="D73" s="27" t="n">
        <f aca="false">D67+D68+D69+D70+D71+D72</f>
        <v>0</v>
      </c>
      <c r="E73" s="27" t="n">
        <f aca="false">E67+E68+E69+E70+E71+E72</f>
        <v>0</v>
      </c>
      <c r="F73" s="27" t="n">
        <f aca="false">F67+F68+F69+F70+F71+F72</f>
        <v>0</v>
      </c>
      <c r="G73" s="27" t="n">
        <f aca="false">G67+G68+G69+G70+G71+G72</f>
        <v>0</v>
      </c>
      <c r="H73" s="21" t="n">
        <f aca="false">SUM(C73:G73)</f>
        <v>0</v>
      </c>
    </row>
    <row r="74" customFormat="false" ht="13.5" hidden="false" customHeight="true" outlineLevel="0" collapsed="false">
      <c r="B74" s="30" t="s">
        <v>104</v>
      </c>
      <c r="C74" s="30"/>
      <c r="D74" s="30"/>
      <c r="E74" s="30"/>
      <c r="F74" s="30"/>
      <c r="G74" s="30"/>
      <c r="H74" s="30"/>
    </row>
    <row r="75" customFormat="false" ht="15" hidden="false" customHeight="false" outlineLevel="0" collapsed="false">
      <c r="B75" s="35" t="s">
        <v>105</v>
      </c>
      <c r="C75" s="29" t="n">
        <f aca="false">C37</f>
        <v>0</v>
      </c>
      <c r="D75" s="29" t="n">
        <f aca="false">D37</f>
        <v>0</v>
      </c>
      <c r="E75" s="29" t="n">
        <f aca="false">E37</f>
        <v>0</v>
      </c>
      <c r="F75" s="29" t="n">
        <f aca="false">F37</f>
        <v>0</v>
      </c>
      <c r="G75" s="29" t="n">
        <f aca="false">G37</f>
        <v>0</v>
      </c>
      <c r="H75" s="23" t="n">
        <f aca="false">SUM(C75:G75)</f>
        <v>0</v>
      </c>
    </row>
    <row r="76" customFormat="false" ht="15" hidden="false" customHeight="false" outlineLevel="0" collapsed="false">
      <c r="B76" s="35" t="s">
        <v>106</v>
      </c>
      <c r="C76" s="29" t="n">
        <f aca="false">C38</f>
        <v>0</v>
      </c>
      <c r="D76" s="29" t="n">
        <f aca="false">D38</f>
        <v>0</v>
      </c>
      <c r="E76" s="29" t="n">
        <f aca="false">E38</f>
        <v>0</v>
      </c>
      <c r="F76" s="29" t="n">
        <f aca="false">F38</f>
        <v>0</v>
      </c>
      <c r="G76" s="29" t="n">
        <f aca="false">G38</f>
        <v>0</v>
      </c>
      <c r="H76" s="23" t="n">
        <f aca="false">SUM(C76:G76)</f>
        <v>0</v>
      </c>
    </row>
    <row r="77" customFormat="false" ht="15" hidden="false" customHeight="false" outlineLevel="0" collapsed="false">
      <c r="B77" s="35" t="s">
        <v>107</v>
      </c>
      <c r="C77" s="29" t="n">
        <f aca="false">C97</f>
        <v>0</v>
      </c>
      <c r="D77" s="29" t="n">
        <f aca="false">D97</f>
        <v>0</v>
      </c>
      <c r="E77" s="29" t="n">
        <f aca="false">E97</f>
        <v>0</v>
      </c>
      <c r="F77" s="29" t="n">
        <f aca="false">F97</f>
        <v>0</v>
      </c>
      <c r="G77" s="29" t="n">
        <f aca="false">G97</f>
        <v>0</v>
      </c>
      <c r="H77" s="23" t="n">
        <f aca="false">SUM(C77:G77)</f>
        <v>0</v>
      </c>
    </row>
    <row r="78" customFormat="false" ht="15" hidden="false" customHeight="false" outlineLevel="0" collapsed="false">
      <c r="B78" s="35" t="s">
        <v>108</v>
      </c>
      <c r="C78" s="39" t="n">
        <f aca="false">MAX(0,'Partner Directory'!J14-C112)</f>
        <v>0</v>
      </c>
      <c r="D78" s="39" t="n">
        <f aca="false">MAX(0,'Partner Directory'!J15-D112)</f>
        <v>0</v>
      </c>
      <c r="E78" s="39" t="n">
        <f aca="false">MAX(0,'Partner Directory'!J16-E112)</f>
        <v>0</v>
      </c>
      <c r="F78" s="39" t="n">
        <f aca="false">MAX(0,'Partner Directory'!J17-F112)</f>
        <v>0</v>
      </c>
      <c r="G78" s="39" t="n">
        <f aca="false">MAX(0,'Partner Directory'!J18-G112)</f>
        <v>0</v>
      </c>
      <c r="H78" s="23" t="n">
        <f aca="false">SUM(C78:G78)</f>
        <v>0</v>
      </c>
    </row>
    <row r="79" customFormat="false" ht="15" hidden="false" customHeight="false" outlineLevel="0" collapsed="false">
      <c r="B79" s="35" t="s">
        <v>109</v>
      </c>
      <c r="C79" s="29" t="n">
        <f aca="false">C51</f>
        <v>0</v>
      </c>
      <c r="D79" s="29" t="n">
        <f aca="false">D51</f>
        <v>0</v>
      </c>
      <c r="E79" s="29" t="n">
        <f aca="false">E51</f>
        <v>0</v>
      </c>
      <c r="F79" s="29" t="n">
        <f aca="false">F51</f>
        <v>0</v>
      </c>
      <c r="G79" s="29" t="n">
        <f aca="false">G51</f>
        <v>0</v>
      </c>
      <c r="H79" s="23" t="n">
        <f aca="false">SUM(C79:G79)</f>
        <v>0</v>
      </c>
    </row>
    <row r="80" customFormat="false" ht="15" hidden="false" customHeight="false" outlineLevel="0" collapsed="false">
      <c r="B80" s="8" t="s">
        <v>110</v>
      </c>
      <c r="C80" s="22" t="n">
        <v>0</v>
      </c>
      <c r="D80" s="22" t="n">
        <v>0</v>
      </c>
      <c r="E80" s="22" t="n">
        <v>0</v>
      </c>
      <c r="F80" s="22" t="n">
        <v>0</v>
      </c>
      <c r="G80" s="22" t="n">
        <v>0</v>
      </c>
      <c r="H80" s="23" t="n">
        <f aca="false">SUM(C80:G80)</f>
        <v>0</v>
      </c>
    </row>
    <row r="81" customFormat="false" ht="15" hidden="false" customHeight="false" outlineLevel="0" collapsed="false">
      <c r="B81" s="32" t="s">
        <v>111</v>
      </c>
      <c r="C81" s="27" t="n">
        <f aca="false">C75+C76+C77+C78+C79+C80</f>
        <v>0</v>
      </c>
      <c r="D81" s="27" t="n">
        <f aca="false">D75+D76+D77+D78+D79+D80</f>
        <v>0</v>
      </c>
      <c r="E81" s="27" t="n">
        <f aca="false">E75+E76+E77+E78+E79+E80</f>
        <v>0</v>
      </c>
      <c r="F81" s="27" t="n">
        <f aca="false">F75+F76+F77+F78+F79+F80</f>
        <v>0</v>
      </c>
      <c r="G81" s="27" t="n">
        <f aca="false">G75+G76+G77+G78+G79+G80</f>
        <v>0</v>
      </c>
      <c r="H81" s="21" t="n">
        <f aca="false">SUM(C81:G81)</f>
        <v>0</v>
      </c>
    </row>
    <row r="82" customFormat="false" ht="15" hidden="false" customHeight="false" outlineLevel="0" collapsed="false">
      <c r="B82" s="34" t="s">
        <v>112</v>
      </c>
      <c r="C82" s="29" t="n">
        <f aca="false">C65+C73-C81</f>
        <v>0</v>
      </c>
      <c r="D82" s="29" t="n">
        <f aca="false">D65+D73-D81</f>
        <v>0</v>
      </c>
      <c r="E82" s="29" t="n">
        <f aca="false">E65+E73-E81</f>
        <v>0</v>
      </c>
      <c r="F82" s="29" t="n">
        <f aca="false">F65+F73-F81</f>
        <v>0</v>
      </c>
      <c r="G82" s="29" t="n">
        <f aca="false">G65+G73-G81</f>
        <v>0</v>
      </c>
      <c r="H82" s="23" t="n">
        <f aca="false">SUM(C82:G82)</f>
        <v>0</v>
      </c>
    </row>
    <row r="83" customFormat="false" ht="13.5" hidden="false" customHeight="true" outlineLevel="0" collapsed="false">
      <c r="B83" s="33" t="s">
        <v>113</v>
      </c>
      <c r="C83" s="33"/>
      <c r="D83" s="33"/>
      <c r="E83" s="33"/>
      <c r="F83" s="33"/>
      <c r="G83" s="33"/>
      <c r="H83" s="33"/>
    </row>
    <row r="84" customFormat="false" ht="15" hidden="false" customHeight="false" outlineLevel="0" collapsed="false">
      <c r="B84" s="35" t="s">
        <v>114</v>
      </c>
      <c r="C84" s="29" t="n">
        <f aca="false">MAX(0,-C82)</f>
        <v>-0</v>
      </c>
      <c r="D84" s="29" t="n">
        <f aca="false">MAX(0,-D82)</f>
        <v>-0</v>
      </c>
      <c r="E84" s="29" t="n">
        <f aca="false">MAX(0,-E82)</f>
        <v>-0</v>
      </c>
      <c r="F84" s="29" t="n">
        <f aca="false">MAX(0,-F82)</f>
        <v>-0</v>
      </c>
      <c r="G84" s="29" t="n">
        <f aca="false">MAX(0,-G82)</f>
        <v>-0</v>
      </c>
      <c r="H84" s="23" t="n">
        <f aca="false">SUM(C84:G84)</f>
        <v>0</v>
      </c>
    </row>
    <row r="85" customFormat="false" ht="15" hidden="false" customHeight="false" outlineLevel="0" collapsed="false">
      <c r="B85" s="8" t="s">
        <v>115</v>
      </c>
      <c r="C85" s="24" t="n">
        <v>0</v>
      </c>
      <c r="D85" s="24" t="n">
        <v>0</v>
      </c>
      <c r="E85" s="24" t="n">
        <v>0</v>
      </c>
      <c r="F85" s="24" t="n">
        <v>0</v>
      </c>
      <c r="G85" s="24" t="n">
        <v>0</v>
      </c>
      <c r="H85" s="23" t="n">
        <f aca="false">SUM(C85:G85)</f>
        <v>0</v>
      </c>
    </row>
    <row r="86" customFormat="false" ht="18" hidden="false" customHeight="true" outlineLevel="0" collapsed="false">
      <c r="B86" s="36" t="s">
        <v>116</v>
      </c>
      <c r="C86" s="27" t="n">
        <f aca="false">MAX(0,C82)-C85</f>
        <v>0</v>
      </c>
      <c r="D86" s="27" t="n">
        <f aca="false">MAX(0,D82)-D85</f>
        <v>0</v>
      </c>
      <c r="E86" s="27" t="n">
        <f aca="false">MAX(0,E82)-E85</f>
        <v>0</v>
      </c>
      <c r="F86" s="27" t="n">
        <f aca="false">MAX(0,F82)-F85</f>
        <v>0</v>
      </c>
      <c r="G86" s="27" t="n">
        <f aca="false">MAX(0,G82)-G85</f>
        <v>0</v>
      </c>
      <c r="H86" s="21" t="n">
        <f aca="false">SUM(C86:G86)</f>
        <v>0</v>
      </c>
    </row>
    <row r="87" customFormat="false" ht="15" hidden="false" customHeight="false" outlineLevel="0" collapsed="false">
      <c r="B87" s="40" t="s">
        <v>117</v>
      </c>
      <c r="C87" s="27" t="n">
        <f aca="false">MIN(C59,C86)</f>
        <v>0</v>
      </c>
      <c r="D87" s="27" t="n">
        <f aca="false">MIN(D59,D86)</f>
        <v>0</v>
      </c>
      <c r="E87" s="27" t="n">
        <f aca="false">MIN(E59,E86)</f>
        <v>0</v>
      </c>
      <c r="F87" s="27" t="n">
        <f aca="false">MIN(F59,F86)</f>
        <v>0</v>
      </c>
      <c r="G87" s="27" t="n">
        <f aca="false">MIN(G59,G86)</f>
        <v>0</v>
      </c>
      <c r="H87" s="21" t="n">
        <f aca="false">SUM(C87:G87)</f>
        <v>0</v>
      </c>
    </row>
    <row r="88" customFormat="false" ht="3.75" hidden="false" customHeight="true" outlineLevel="0" collapsed="false"/>
    <row r="89" customFormat="false" ht="15" hidden="false" customHeight="false" outlineLevel="0" collapsed="false">
      <c r="B89" s="3" t="s">
        <v>118</v>
      </c>
      <c r="C89" s="3"/>
      <c r="D89" s="3"/>
      <c r="E89" s="3"/>
      <c r="F89" s="3"/>
      <c r="G89" s="3"/>
      <c r="H89" s="3"/>
    </row>
    <row r="90" customFormat="false" ht="19.5" hidden="false" customHeight="true" outlineLevel="0" collapsed="false">
      <c r="B90" s="2" t="s">
        <v>119</v>
      </c>
      <c r="C90" s="2"/>
      <c r="D90" s="2"/>
      <c r="E90" s="2"/>
      <c r="F90" s="2"/>
      <c r="G90" s="2"/>
      <c r="H90" s="2"/>
    </row>
    <row r="91" customFormat="false" ht="30" hidden="false" customHeight="true" outlineLevel="0" collapsed="false">
      <c r="B91" s="12" t="s">
        <v>120</v>
      </c>
      <c r="C91" s="13" t="s">
        <v>25</v>
      </c>
      <c r="D91" s="13" t="s">
        <v>27</v>
      </c>
      <c r="E91" s="13" t="s">
        <v>29</v>
      </c>
      <c r="F91" s="13" t="s">
        <v>30</v>
      </c>
      <c r="G91" s="13" t="s">
        <v>32</v>
      </c>
      <c r="H91" s="13" t="s">
        <v>121</v>
      </c>
    </row>
    <row r="92" customFormat="false" ht="3.75" hidden="false" customHeight="true" outlineLevel="0" collapsed="false"/>
    <row r="93" customFormat="false" ht="13.5" hidden="false" customHeight="true" outlineLevel="0" collapsed="false">
      <c r="B93" s="3" t="s">
        <v>122</v>
      </c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B94" s="4" t="s">
        <v>123</v>
      </c>
      <c r="C94" s="41" t="n">
        <v>0</v>
      </c>
      <c r="D94" s="42" t="s">
        <v>124</v>
      </c>
      <c r="E94" s="42"/>
      <c r="F94" s="42"/>
      <c r="G94" s="42"/>
    </row>
    <row r="95" customFormat="false" ht="15" hidden="false" customHeight="false" outlineLevel="0" collapsed="false">
      <c r="B95" s="35" t="s">
        <v>125</v>
      </c>
      <c r="C95" s="43" t="n">
        <f aca="false">'Partner Directory'!H14</f>
        <v>0</v>
      </c>
      <c r="D95" s="43" t="n">
        <f aca="false">'Partner Directory'!H15</f>
        <v>0</v>
      </c>
      <c r="E95" s="43" t="n">
        <f aca="false">'Partner Directory'!H16</f>
        <v>0</v>
      </c>
      <c r="F95" s="43" t="n">
        <f aca="false">'Partner Directory'!H17</f>
        <v>0</v>
      </c>
      <c r="G95" s="43" t="n">
        <f aca="false">'Partner Directory'!H18</f>
        <v>0</v>
      </c>
      <c r="H95" s="44" t="n">
        <f aca="false">SUM(C95:G95)</f>
        <v>0</v>
      </c>
    </row>
    <row r="96" customFormat="false" ht="15" hidden="false" customHeight="false" outlineLevel="0" collapsed="false">
      <c r="B96" s="35" t="s">
        <v>126</v>
      </c>
      <c r="C96" s="41" t="n">
        <v>0</v>
      </c>
      <c r="D96" s="41" t="n">
        <v>0</v>
      </c>
      <c r="E96" s="41" t="n">
        <v>0</v>
      </c>
      <c r="F96" s="41" t="n">
        <v>0</v>
      </c>
      <c r="G96" s="41" t="n">
        <v>0</v>
      </c>
      <c r="H96" s="44" t="n">
        <f aca="false">SUM(C96:G96)</f>
        <v>0</v>
      </c>
    </row>
    <row r="97" customFormat="false" ht="15" hidden="false" customHeight="false" outlineLevel="0" collapsed="false">
      <c r="B97" s="35" t="s">
        <v>127</v>
      </c>
      <c r="C97" s="41" t="n">
        <v>0</v>
      </c>
      <c r="D97" s="41" t="n">
        <v>0</v>
      </c>
      <c r="E97" s="41" t="n">
        <v>0</v>
      </c>
      <c r="F97" s="41" t="n">
        <v>0</v>
      </c>
      <c r="G97" s="41" t="n">
        <v>0</v>
      </c>
      <c r="H97" s="44" t="n">
        <f aca="false">SUM(C97:G97)</f>
        <v>0</v>
      </c>
    </row>
    <row r="98" customFormat="false" ht="15" hidden="false" customHeight="false" outlineLevel="0" collapsed="false">
      <c r="B98" s="4" t="s">
        <v>128</v>
      </c>
      <c r="C98" s="21" t="n">
        <f aca="false">C95+C96-C97</f>
        <v>0</v>
      </c>
      <c r="D98" s="21" t="n">
        <f aca="false">D95+D96-D97</f>
        <v>0</v>
      </c>
      <c r="E98" s="21" t="n">
        <f aca="false">E95+E96-E97</f>
        <v>0</v>
      </c>
      <c r="F98" s="21" t="n">
        <f aca="false">F95+F96-F97</f>
        <v>0</v>
      </c>
      <c r="G98" s="21" t="n">
        <f aca="false">G95+G96-G97</f>
        <v>0</v>
      </c>
      <c r="H98" s="45" t="str">
        <f aca="false">IF(ABS(C94-SUM(C98:G98))&lt;1,TEXT(SUM(C98:G98),"$#,##0")&amp;" ✓",TEXT(SUM(C98:G98),"$#,##0")&amp;" ⚠ gap")</f>
        <v>$0 ✓</v>
      </c>
    </row>
    <row r="99" customFormat="false" ht="3.75" hidden="false" customHeight="true" outlineLevel="0" collapsed="false"/>
    <row r="100" customFormat="false" ht="13.5" hidden="false" customHeight="true" outlineLevel="0" collapsed="false">
      <c r="B100" s="37" t="s">
        <v>129</v>
      </c>
      <c r="C100" s="37"/>
      <c r="D100" s="37"/>
      <c r="E100" s="37"/>
      <c r="F100" s="37"/>
      <c r="G100" s="37"/>
      <c r="H100" s="37"/>
    </row>
    <row r="101" customFormat="false" ht="15" hidden="false" customHeight="false" outlineLevel="0" collapsed="false">
      <c r="B101" s="4" t="s">
        <v>123</v>
      </c>
      <c r="C101" s="41" t="n">
        <v>0</v>
      </c>
      <c r="D101" s="42" t="s">
        <v>124</v>
      </c>
      <c r="E101" s="42"/>
      <c r="F101" s="42"/>
      <c r="G101" s="42"/>
    </row>
    <row r="102" customFormat="false" ht="15" hidden="false" customHeight="false" outlineLevel="0" collapsed="false">
      <c r="B102" s="35" t="s">
        <v>125</v>
      </c>
      <c r="C102" s="43" t="n">
        <f aca="false">'Partner Directory'!I14</f>
        <v>0</v>
      </c>
      <c r="D102" s="43" t="n">
        <f aca="false">'Partner Directory'!I15</f>
        <v>0</v>
      </c>
      <c r="E102" s="43" t="n">
        <f aca="false">'Partner Directory'!I16</f>
        <v>0</v>
      </c>
      <c r="F102" s="43" t="n">
        <f aca="false">'Partner Directory'!I17</f>
        <v>0</v>
      </c>
      <c r="G102" s="43" t="n">
        <f aca="false">'Partner Directory'!I18</f>
        <v>0</v>
      </c>
      <c r="H102" s="44" t="n">
        <f aca="false">SUM(C102:G102)</f>
        <v>0</v>
      </c>
    </row>
    <row r="103" customFormat="false" ht="15" hidden="false" customHeight="false" outlineLevel="0" collapsed="false">
      <c r="B103" s="35" t="s">
        <v>126</v>
      </c>
      <c r="C103" s="41" t="n">
        <v>0</v>
      </c>
      <c r="D103" s="41" t="n">
        <v>0</v>
      </c>
      <c r="E103" s="41" t="n">
        <v>0</v>
      </c>
      <c r="F103" s="41" t="n">
        <v>0</v>
      </c>
      <c r="G103" s="41" t="n">
        <v>0</v>
      </c>
      <c r="H103" s="44" t="n">
        <f aca="false">SUM(C103:G103)</f>
        <v>0</v>
      </c>
    </row>
    <row r="104" customFormat="false" ht="15" hidden="false" customHeight="false" outlineLevel="0" collapsed="false">
      <c r="B104" s="35" t="s">
        <v>127</v>
      </c>
      <c r="C104" s="41" t="n">
        <v>0</v>
      </c>
      <c r="D104" s="41" t="n">
        <v>0</v>
      </c>
      <c r="E104" s="41" t="n">
        <v>0</v>
      </c>
      <c r="F104" s="41" t="n">
        <v>0</v>
      </c>
      <c r="G104" s="41" t="n">
        <v>0</v>
      </c>
      <c r="H104" s="44" t="n">
        <f aca="false">SUM(C104:G104)</f>
        <v>0</v>
      </c>
    </row>
    <row r="105" customFormat="false" ht="15" hidden="false" customHeight="false" outlineLevel="0" collapsed="false">
      <c r="B105" s="4" t="s">
        <v>128</v>
      </c>
      <c r="C105" s="21" t="n">
        <f aca="false">C102+C103-C104</f>
        <v>0</v>
      </c>
      <c r="D105" s="21" t="n">
        <f aca="false">D102+D103-D104</f>
        <v>0</v>
      </c>
      <c r="E105" s="21" t="n">
        <f aca="false">E102+E103-E104</f>
        <v>0</v>
      </c>
      <c r="F105" s="21" t="n">
        <f aca="false">F102+F103-F104</f>
        <v>0</v>
      </c>
      <c r="G105" s="21" t="n">
        <f aca="false">G102+G103-G104</f>
        <v>0</v>
      </c>
      <c r="H105" s="45" t="str">
        <f aca="false">IF(ABS(C101-SUM(C105:G105))&lt;1,TEXT(SUM(C105:G105),"$#,##0")&amp;" ✓",TEXT(SUM(C105:G105),"$#,##0")&amp;" ⚠ gap")</f>
        <v>$0 ✓</v>
      </c>
    </row>
    <row r="106" customFormat="false" ht="3.75" hidden="false" customHeight="true" outlineLevel="0" collapsed="false"/>
    <row r="107" customFormat="false" ht="13.5" hidden="false" customHeight="true" outlineLevel="0" collapsed="false">
      <c r="B107" s="17" t="s">
        <v>130</v>
      </c>
      <c r="C107" s="17"/>
      <c r="D107" s="17"/>
      <c r="E107" s="17"/>
      <c r="F107" s="17"/>
      <c r="G107" s="17"/>
      <c r="H107" s="17"/>
    </row>
    <row r="108" customFormat="false" ht="15" hidden="false" customHeight="false" outlineLevel="0" collapsed="false">
      <c r="B108" s="4" t="s">
        <v>123</v>
      </c>
      <c r="C108" s="41" t="n">
        <v>0</v>
      </c>
      <c r="D108" s="42" t="s">
        <v>124</v>
      </c>
      <c r="E108" s="42"/>
      <c r="F108" s="42"/>
      <c r="G108" s="42"/>
    </row>
    <row r="109" customFormat="false" ht="15" hidden="false" customHeight="false" outlineLevel="0" collapsed="false">
      <c r="B109" s="35" t="s">
        <v>125</v>
      </c>
      <c r="C109" s="43" t="n">
        <f aca="false">'Partner Directory'!J14</f>
        <v>0</v>
      </c>
      <c r="D109" s="43" t="n">
        <f aca="false">'Partner Directory'!J15</f>
        <v>0</v>
      </c>
      <c r="E109" s="43" t="n">
        <f aca="false">'Partner Directory'!J16</f>
        <v>0</v>
      </c>
      <c r="F109" s="43" t="n">
        <f aca="false">'Partner Directory'!J17</f>
        <v>0</v>
      </c>
      <c r="G109" s="43" t="n">
        <f aca="false">'Partner Directory'!J18</f>
        <v>0</v>
      </c>
      <c r="H109" s="44" t="n">
        <f aca="false">SUM(C109:G109)</f>
        <v>0</v>
      </c>
    </row>
    <row r="110" customFormat="false" ht="15" hidden="false" customHeight="false" outlineLevel="0" collapsed="false">
      <c r="B110" s="35" t="s">
        <v>126</v>
      </c>
      <c r="C110" s="41" t="n">
        <v>0</v>
      </c>
      <c r="D110" s="41" t="n">
        <v>0</v>
      </c>
      <c r="E110" s="41" t="n">
        <v>0</v>
      </c>
      <c r="F110" s="41" t="n">
        <v>0</v>
      </c>
      <c r="G110" s="41" t="n">
        <v>0</v>
      </c>
      <c r="H110" s="44" t="n">
        <f aca="false">SUM(C110:G110)</f>
        <v>0</v>
      </c>
    </row>
    <row r="111" customFormat="false" ht="15" hidden="false" customHeight="false" outlineLevel="0" collapsed="false">
      <c r="B111" s="35" t="s">
        <v>127</v>
      </c>
      <c r="C111" s="41" t="n">
        <v>0</v>
      </c>
      <c r="D111" s="41" t="n">
        <v>0</v>
      </c>
      <c r="E111" s="41" t="n">
        <v>0</v>
      </c>
      <c r="F111" s="41" t="n">
        <v>0</v>
      </c>
      <c r="G111" s="41" t="n">
        <v>0</v>
      </c>
      <c r="H111" s="44" t="n">
        <f aca="false">SUM(C111:G111)</f>
        <v>0</v>
      </c>
    </row>
    <row r="112" customFormat="false" ht="15" hidden="false" customHeight="false" outlineLevel="0" collapsed="false">
      <c r="B112" s="4" t="s">
        <v>128</v>
      </c>
      <c r="C112" s="21" t="n">
        <f aca="false">C109+C110-C111</f>
        <v>0</v>
      </c>
      <c r="D112" s="21" t="n">
        <f aca="false">D109+D110-D111</f>
        <v>0</v>
      </c>
      <c r="E112" s="21" t="n">
        <f aca="false">E109+E110-E111</f>
        <v>0</v>
      </c>
      <c r="F112" s="21" t="n">
        <f aca="false">F109+F110-F111</f>
        <v>0</v>
      </c>
      <c r="G112" s="21" t="n">
        <f aca="false">G109+G110-G111</f>
        <v>0</v>
      </c>
      <c r="H112" s="45" t="str">
        <f aca="false">IF(ABS(C108-SUM(C112:G112))&lt;1,TEXT(SUM(C112:G112),"$#,##0")&amp;" ✓",TEXT(SUM(C112:G112),"$#,##0")&amp;" ⚠ gap")</f>
        <v>$0 ✓</v>
      </c>
    </row>
    <row r="113" customFormat="false" ht="3.75" hidden="false" customHeight="true" outlineLevel="0" collapsed="false"/>
    <row r="114" customFormat="false" ht="15" hidden="false" customHeight="false" outlineLevel="0" collapsed="false">
      <c r="B114" s="3" t="s">
        <v>131</v>
      </c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B115" s="35" t="s">
        <v>132</v>
      </c>
      <c r="C115" s="23" t="n">
        <f aca="false">C98+C105+C112</f>
        <v>0</v>
      </c>
      <c r="D115" s="23" t="n">
        <f aca="false">D98+D105+D112</f>
        <v>0</v>
      </c>
      <c r="E115" s="23" t="n">
        <f aca="false">E98+E105+E112</f>
        <v>0</v>
      </c>
      <c r="F115" s="23" t="n">
        <f aca="false">F98+F105+F112</f>
        <v>0</v>
      </c>
      <c r="G115" s="23" t="n">
        <f aca="false">G98+G105+G112</f>
        <v>0</v>
      </c>
      <c r="H115" s="44" t="n">
        <f aca="false">SUM(C115:G115)</f>
        <v>0</v>
      </c>
    </row>
    <row r="116" customFormat="false" ht="15" hidden="false" customHeight="false" outlineLevel="0" collapsed="false">
      <c r="B116" s="35" t="s">
        <v>133</v>
      </c>
      <c r="C116" s="46" t="n">
        <f aca="false">'Partner Directory'!H14+'Partner Directory'!I14+'Partner Directory'!J14</f>
        <v>0</v>
      </c>
      <c r="D116" s="46" t="n">
        <f aca="false">'Partner Directory'!H15+'Partner Directory'!I15+'Partner Directory'!J15</f>
        <v>0</v>
      </c>
      <c r="E116" s="46" t="n">
        <f aca="false">'Partner Directory'!H16+'Partner Directory'!I16+'Partner Directory'!J16</f>
        <v>0</v>
      </c>
      <c r="F116" s="46" t="n">
        <f aca="false">'Partner Directory'!H17+'Partner Directory'!I17+'Partner Directory'!J17</f>
        <v>0</v>
      </c>
      <c r="G116" s="46" t="n">
        <f aca="false">'Partner Directory'!H18+'Partner Directory'!I18+'Partner Directory'!J18</f>
        <v>0</v>
      </c>
      <c r="H116" s="44" t="n">
        <f aca="false">SUM(C116:G116)</f>
        <v>0</v>
      </c>
    </row>
    <row r="117" customFormat="false" ht="15.75" hidden="false" customHeight="true" outlineLevel="0" collapsed="false">
      <c r="B117" s="4" t="s">
        <v>134</v>
      </c>
      <c r="C117" s="21" t="n">
        <f aca="false">C115-C116</f>
        <v>0</v>
      </c>
      <c r="D117" s="21" t="n">
        <f aca="false">D115-D116</f>
        <v>0</v>
      </c>
      <c r="E117" s="21" t="n">
        <f aca="false">E115-E116</f>
        <v>0</v>
      </c>
      <c r="F117" s="21" t="n">
        <f aca="false">F115-F116</f>
        <v>0</v>
      </c>
      <c r="G117" s="21" t="n">
        <f aca="false">G115-G116</f>
        <v>0</v>
      </c>
      <c r="H117" s="44" t="n">
        <f aca="false">SUM(C117:G117)</f>
        <v>0</v>
      </c>
    </row>
  </sheetData>
  <sheetProtection sheet="true" password="c466"/>
  <mergeCells count="27">
    <mergeCell ref="A1:H1"/>
    <mergeCell ref="B2:H2"/>
    <mergeCell ref="B4:H4"/>
    <mergeCell ref="B5:H5"/>
    <mergeCell ref="B13:H13"/>
    <mergeCell ref="B14:H14"/>
    <mergeCell ref="B18:H18"/>
    <mergeCell ref="B21:H21"/>
    <mergeCell ref="B33:H33"/>
    <mergeCell ref="B36:H36"/>
    <mergeCell ref="B39:H39"/>
    <mergeCell ref="B52:H52"/>
    <mergeCell ref="B55:H55"/>
    <mergeCell ref="B61:H61"/>
    <mergeCell ref="B62:H62"/>
    <mergeCell ref="B66:H66"/>
    <mergeCell ref="B74:H74"/>
    <mergeCell ref="B83:H83"/>
    <mergeCell ref="B89:H89"/>
    <mergeCell ref="B90:H90"/>
    <mergeCell ref="B93:H93"/>
    <mergeCell ref="D94:G94"/>
    <mergeCell ref="B100:H100"/>
    <mergeCell ref="D101:G101"/>
    <mergeCell ref="B107:H107"/>
    <mergeCell ref="D108:G108"/>
    <mergeCell ref="B114:H114"/>
  </mergeCells>
  <dataValidations count="2">
    <dataValidation allowBlank="true" error="Enter 0-1 (e.g. 0.20 = 20%)" errorStyle="stop" operator="between" showDropDown="false" showErrorMessage="false" showInputMessage="false" sqref="C9:G11" type="decimal">
      <formula1>0</formula1>
      <formula2>1</formula2>
    </dataValidation>
    <dataValidation allowBlank="false" errorStyle="stop" operator="between" showDropDown="false" showErrorMessage="false" showInputMessage="false" sqref="C8:G8" type="list">
      <formula1>"Active,Closed-Out,New-Transferee"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7" min="3" style="0" width="16"/>
    <col collapsed="false" customWidth="true" hidden="false" outlineLevel="0" max="8" min="8" style="0" width="15"/>
  </cols>
  <sheetData>
    <row r="1" customFormat="false" ht="27.75" hidden="false" customHeight="true" outlineLevel="0" collapsed="false">
      <c r="A1" s="11" t="s">
        <v>135</v>
      </c>
      <c r="B1" s="11"/>
      <c r="C1" s="11"/>
      <c r="D1" s="11"/>
      <c r="E1" s="11"/>
      <c r="F1" s="11"/>
      <c r="G1" s="11"/>
      <c r="H1" s="11"/>
    </row>
    <row r="2" customFormat="false" ht="18" hidden="false" customHeight="true" outlineLevel="0" collapsed="false">
      <c r="B2" s="2" t="s">
        <v>35</v>
      </c>
      <c r="C2" s="2"/>
      <c r="D2" s="2"/>
      <c r="E2" s="2"/>
      <c r="F2" s="2"/>
      <c r="G2" s="2"/>
      <c r="H2" s="2"/>
    </row>
    <row r="3" customFormat="false" ht="3.75" hidden="false" customHeight="true" outlineLevel="0" collapsed="false"/>
    <row r="4" customFormat="false" ht="15" hidden="false" customHeight="false" outlineLevel="0" collapsed="false">
      <c r="B4" s="3" t="s">
        <v>136</v>
      </c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37</v>
      </c>
      <c r="C5" s="2"/>
      <c r="D5" s="2"/>
      <c r="E5" s="2"/>
      <c r="F5" s="2"/>
      <c r="G5" s="2"/>
      <c r="H5" s="2"/>
    </row>
    <row r="6" customFormat="false" ht="30" hidden="false" customHeight="true" outlineLevel="0" collapsed="false">
      <c r="B6" s="12" t="s">
        <v>38</v>
      </c>
      <c r="C6" s="13" t="s">
        <v>25</v>
      </c>
      <c r="D6" s="13" t="s">
        <v>27</v>
      </c>
      <c r="E6" s="13" t="s">
        <v>29</v>
      </c>
      <c r="F6" s="13" t="s">
        <v>30</v>
      </c>
      <c r="G6" s="13" t="s">
        <v>32</v>
      </c>
      <c r="H6" s="13" t="s">
        <v>39</v>
      </c>
    </row>
    <row r="7" customFormat="false" ht="15" hidden="false" customHeight="false" outlineLevel="0" collapsed="false">
      <c r="B7" s="4" t="s">
        <v>18</v>
      </c>
      <c r="C7" s="7" t="s">
        <v>26</v>
      </c>
      <c r="D7" s="7" t="s">
        <v>28</v>
      </c>
      <c r="E7" s="7" t="s">
        <v>28</v>
      </c>
      <c r="F7" s="7" t="s">
        <v>31</v>
      </c>
      <c r="G7" s="7" t="s">
        <v>31</v>
      </c>
    </row>
    <row r="8" customFormat="false" ht="15" hidden="false" customHeight="false" outlineLevel="0" collapsed="false">
      <c r="B8" s="4" t="s">
        <v>40</v>
      </c>
      <c r="C8" s="14" t="s">
        <v>41</v>
      </c>
      <c r="D8" s="14" t="s">
        <v>41</v>
      </c>
      <c r="E8" s="14" t="s">
        <v>41</v>
      </c>
      <c r="F8" s="14" t="s">
        <v>41</v>
      </c>
      <c r="G8" s="14" t="s">
        <v>41</v>
      </c>
    </row>
    <row r="9" customFormat="false" ht="15" hidden="false" customHeight="false" outlineLevel="0" collapsed="false">
      <c r="B9" s="4" t="s">
        <v>42</v>
      </c>
      <c r="C9" s="15" t="n">
        <v>0.2</v>
      </c>
      <c r="D9" s="15" t="n">
        <v>0.2</v>
      </c>
      <c r="E9" s="15" t="n">
        <v>0.2</v>
      </c>
      <c r="F9" s="15" t="n">
        <v>0.2</v>
      </c>
      <c r="G9" s="15" t="n">
        <v>0.2</v>
      </c>
      <c r="H9" s="16" t="str">
        <f aca="false">IF(ABS(SUM(C9:G9)-1)&lt;0.0001,TEXT(SUM(C9:G9),"0.0%")&amp;" ✓",TEXT(SUM(C9:G9),"0.0%")&amp;" ⚠")</f>
        <v>100.0% ✓</v>
      </c>
    </row>
    <row r="10" customFormat="false" ht="15" hidden="false" customHeight="false" outlineLevel="0" collapsed="false">
      <c r="B10" s="4" t="s">
        <v>43</v>
      </c>
      <c r="C10" s="15" t="n">
        <v>0.2</v>
      </c>
      <c r="D10" s="15" t="n">
        <v>0.2</v>
      </c>
      <c r="E10" s="15" t="n">
        <v>0.2</v>
      </c>
      <c r="F10" s="15" t="n">
        <v>0.2</v>
      </c>
      <c r="G10" s="15" t="n">
        <v>0.2</v>
      </c>
      <c r="H10" s="16" t="str">
        <f aca="false">IF(ABS(SUM(C10:G10)-1)&lt;0.0001,TEXT(SUM(C10:G10),"0.0%")&amp;" ✓",TEXT(SUM(C10:G10),"0.0%")&amp;" ⚠")</f>
        <v>100.0% ✓</v>
      </c>
    </row>
    <row r="11" customFormat="false" ht="15" hidden="false" customHeight="false" outlineLevel="0" collapsed="false">
      <c r="B11" s="4" t="s">
        <v>44</v>
      </c>
      <c r="C11" s="15" t="n">
        <v>0.2</v>
      </c>
      <c r="D11" s="15" t="n">
        <v>0.2</v>
      </c>
      <c r="E11" s="15" t="n">
        <v>0.2</v>
      </c>
      <c r="F11" s="15" t="n">
        <v>0.2</v>
      </c>
      <c r="G11" s="15" t="n">
        <v>0.2</v>
      </c>
      <c r="H11" s="16" t="str">
        <f aca="false">IF(ABS(SUM(C11:G11)-1)&lt;0.0001,TEXT(SUM(C11:G11),"0.0%")&amp;" ✓",TEXT(SUM(C11:G11),"0.0%")&amp;" ⚠")</f>
        <v>100.0% ✓</v>
      </c>
    </row>
    <row r="12" customFormat="false" ht="3.75" hidden="false" customHeight="true" outlineLevel="0" collapsed="false"/>
    <row r="13" customFormat="false" ht="15" hidden="false" customHeight="false" outlineLevel="0" collapsed="false">
      <c r="B13" s="17" t="s">
        <v>137</v>
      </c>
      <c r="C13" s="17"/>
      <c r="D13" s="17"/>
      <c r="E13" s="17"/>
      <c r="F13" s="17"/>
      <c r="G13" s="17"/>
      <c r="H13" s="17"/>
    </row>
    <row r="14" customFormat="false" ht="19.5" hidden="false" customHeight="true" outlineLevel="0" collapsed="false">
      <c r="B14" s="18" t="s">
        <v>46</v>
      </c>
      <c r="C14" s="18"/>
      <c r="D14" s="18"/>
      <c r="E14" s="18"/>
      <c r="F14" s="18"/>
      <c r="G14" s="18"/>
      <c r="H14" s="18"/>
    </row>
    <row r="15" customFormat="false" ht="33.75" hidden="false" customHeight="true" outlineLevel="0" collapsed="false">
      <c r="B15" s="12" t="s">
        <v>47</v>
      </c>
      <c r="C15" s="13" t="s">
        <v>25</v>
      </c>
      <c r="D15" s="13" t="s">
        <v>27</v>
      </c>
      <c r="E15" s="13" t="s">
        <v>29</v>
      </c>
      <c r="F15" s="13" t="s">
        <v>30</v>
      </c>
      <c r="G15" s="13" t="s">
        <v>32</v>
      </c>
      <c r="H15" s="13" t="s">
        <v>48</v>
      </c>
    </row>
    <row r="16" customFormat="false" ht="3.75" hidden="false" customHeight="true" outlineLevel="0" collapsed="false"/>
    <row r="17" customFormat="false" ht="15" hidden="false" customHeight="false" outlineLevel="0" collapsed="false">
      <c r="B17" s="19" t="s">
        <v>49</v>
      </c>
      <c r="C17" s="20" t="n">
        <f aca="false">'2021'!C59</f>
        <v>0</v>
      </c>
      <c r="D17" s="20" t="n">
        <f aca="false">'2021'!D59</f>
        <v>0</v>
      </c>
      <c r="E17" s="20" t="n">
        <f aca="false">'2021'!E59</f>
        <v>0</v>
      </c>
      <c r="F17" s="20" t="n">
        <f aca="false">'2021'!F59</f>
        <v>0</v>
      </c>
      <c r="G17" s="20" t="n">
        <f aca="false">'2021'!G59</f>
        <v>0</v>
      </c>
      <c r="H17" s="21" t="n">
        <f aca="false">SUM(C17:G17)</f>
        <v>0</v>
      </c>
    </row>
    <row r="18" customFormat="false" ht="13.5" hidden="false" customHeight="true" outlineLevel="0" collapsed="false">
      <c r="B18" s="17" t="s">
        <v>50</v>
      </c>
      <c r="C18" s="17"/>
      <c r="D18" s="17"/>
      <c r="E18" s="17"/>
      <c r="F18" s="17"/>
      <c r="G18" s="17"/>
      <c r="H18" s="17"/>
    </row>
    <row r="19" customFormat="false" ht="15" hidden="false" customHeight="false" outlineLevel="0" collapsed="false">
      <c r="B19" s="8" t="s">
        <v>51</v>
      </c>
      <c r="C19" s="22" t="n">
        <v>0</v>
      </c>
      <c r="D19" s="22" t="n">
        <v>0</v>
      </c>
      <c r="E19" s="22" t="n">
        <v>0</v>
      </c>
      <c r="F19" s="22" t="n">
        <v>0</v>
      </c>
      <c r="G19" s="22" t="n">
        <v>0</v>
      </c>
      <c r="H19" s="23" t="n">
        <f aca="false">SUM(C19:G19)</f>
        <v>0</v>
      </c>
    </row>
    <row r="20" customFormat="false" ht="15" hidden="false" customHeight="false" outlineLevel="0" collapsed="false">
      <c r="B20" s="8" t="s">
        <v>52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3" t="n">
        <f aca="false">SUM(C20:G20)</f>
        <v>0</v>
      </c>
    </row>
    <row r="21" customFormat="false" ht="13.5" hidden="false" customHeight="true" outlineLevel="0" collapsed="false">
      <c r="B21" s="25" t="s">
        <v>53</v>
      </c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B22" s="8" t="s">
        <v>54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3" t="n">
        <f aca="false">SUM(C22:G22)</f>
        <v>0</v>
      </c>
    </row>
    <row r="23" customFormat="false" ht="15" hidden="false" customHeight="false" outlineLevel="0" collapsed="false">
      <c r="B23" s="8" t="s">
        <v>55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3" t="n">
        <f aca="false">SUM(C23:G23)</f>
        <v>0</v>
      </c>
    </row>
    <row r="24" customFormat="false" ht="15" hidden="false" customHeight="false" outlineLevel="0" collapsed="false">
      <c r="B24" s="8" t="s">
        <v>56</v>
      </c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0</v>
      </c>
      <c r="H24" s="23" t="n">
        <f aca="false">SUM(C24:G24)</f>
        <v>0</v>
      </c>
    </row>
    <row r="25" customFormat="false" ht="15" hidden="false" customHeight="false" outlineLevel="0" collapsed="false">
      <c r="B25" s="8" t="s">
        <v>57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3" t="n">
        <f aca="false">SUM(C25:G25)</f>
        <v>0</v>
      </c>
    </row>
    <row r="26" customFormat="false" ht="15" hidden="false" customHeight="false" outlineLevel="0" collapsed="false">
      <c r="B26" s="8" t="s">
        <v>58</v>
      </c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3" t="n">
        <f aca="false">SUM(C26:G26)</f>
        <v>0</v>
      </c>
    </row>
    <row r="27" customFormat="false" ht="15" hidden="false" customHeight="false" outlineLevel="0" collapsed="false">
      <c r="B27" s="8" t="s">
        <v>59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3" t="n">
        <f aca="false">SUM(C27:G27)</f>
        <v>0</v>
      </c>
    </row>
    <row r="28" customFormat="false" ht="15" hidden="false" customHeight="false" outlineLevel="0" collapsed="false">
      <c r="B28" s="8" t="s">
        <v>60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3" t="n">
        <f aca="false">SUM(C28:G28)</f>
        <v>0</v>
      </c>
    </row>
    <row r="29" customFormat="false" ht="15" hidden="false" customHeight="false" outlineLevel="0" collapsed="false">
      <c r="B29" s="8" t="s">
        <v>61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3" t="n">
        <f aca="false">SUM(C29:G29)</f>
        <v>0</v>
      </c>
    </row>
    <row r="30" customFormat="false" ht="15" hidden="false" customHeight="false" outlineLevel="0" collapsed="false">
      <c r="B30" s="8" t="s">
        <v>62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3" t="n">
        <f aca="false">SUM(C30:G30)</f>
        <v>0</v>
      </c>
    </row>
    <row r="31" customFormat="false" ht="15" hidden="false" customHeight="false" outlineLevel="0" collapsed="false">
      <c r="B31" s="8" t="s">
        <v>63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3" t="n">
        <f aca="false">SUM(C31:G31)</f>
        <v>0</v>
      </c>
    </row>
    <row r="32" customFormat="false" ht="15" hidden="false" customHeight="false" outlineLevel="0" collapsed="false">
      <c r="B32" s="26" t="s">
        <v>64</v>
      </c>
      <c r="C32" s="27" t="n">
        <f aca="false">SUM(C22:C31)</f>
        <v>0</v>
      </c>
      <c r="D32" s="27" t="n">
        <f aca="false">SUM(D22:D31)</f>
        <v>0</v>
      </c>
      <c r="E32" s="27" t="n">
        <f aca="false">SUM(E22:E31)</f>
        <v>0</v>
      </c>
      <c r="F32" s="27" t="n">
        <f aca="false">SUM(F22:F31)</f>
        <v>0</v>
      </c>
      <c r="G32" s="27" t="n">
        <f aca="false">SUM(G22:G31)</f>
        <v>0</v>
      </c>
      <c r="H32" s="21" t="n">
        <f aca="false">SUM(C32:G32)</f>
        <v>0</v>
      </c>
    </row>
    <row r="33" customFormat="false" ht="13.5" hidden="false" customHeight="true" outlineLevel="0" collapsed="false">
      <c r="B33" s="25" t="s">
        <v>65</v>
      </c>
      <c r="C33" s="25"/>
      <c r="D33" s="25"/>
      <c r="E33" s="25"/>
      <c r="F33" s="25"/>
      <c r="G33" s="25"/>
      <c r="H33" s="25"/>
    </row>
    <row r="34" customFormat="false" ht="15" hidden="false" customHeight="false" outlineLevel="0" collapsed="false">
      <c r="B34" s="28" t="s">
        <v>66</v>
      </c>
      <c r="C34" s="29" t="n">
        <f aca="false">MAX(0,C117)</f>
        <v>0</v>
      </c>
      <c r="D34" s="29" t="n">
        <f aca="false">MAX(0,D117)</f>
        <v>0</v>
      </c>
      <c r="E34" s="29" t="n">
        <f aca="false">MAX(0,E117)</f>
        <v>0</v>
      </c>
      <c r="F34" s="29" t="n">
        <f aca="false">MAX(0,F117)</f>
        <v>0</v>
      </c>
      <c r="G34" s="29" t="n">
        <f aca="false">MAX(0,G117)</f>
        <v>0</v>
      </c>
      <c r="H34" s="23" t="n">
        <f aca="false">SUM(C34:G34)</f>
        <v>0</v>
      </c>
    </row>
    <row r="35" customFormat="false" ht="15" hidden="false" customHeight="false" outlineLevel="0" collapsed="false">
      <c r="B35" s="26" t="s">
        <v>67</v>
      </c>
      <c r="C35" s="27" t="n">
        <f aca="false">C19+C20+C32+C34</f>
        <v>0</v>
      </c>
      <c r="D35" s="27" t="n">
        <f aca="false">D19+D20+D32+D34</f>
        <v>0</v>
      </c>
      <c r="E35" s="27" t="n">
        <f aca="false">E19+E20+E32+E34</f>
        <v>0</v>
      </c>
      <c r="F35" s="27" t="n">
        <f aca="false">F19+F20+F32+F34</f>
        <v>0</v>
      </c>
      <c r="G35" s="27" t="n">
        <f aca="false">G19+G20+G32+G34</f>
        <v>0</v>
      </c>
      <c r="H35" s="21" t="n">
        <f aca="false">SUM(C35:G35)</f>
        <v>0</v>
      </c>
    </row>
    <row r="36" customFormat="false" ht="13.5" hidden="false" customHeight="true" outlineLevel="0" collapsed="false">
      <c r="B36" s="30" t="s">
        <v>68</v>
      </c>
      <c r="C36" s="30"/>
      <c r="D36" s="30"/>
      <c r="E36" s="30"/>
      <c r="F36" s="30"/>
      <c r="G36" s="30"/>
      <c r="H36" s="30"/>
    </row>
    <row r="37" customFormat="false" ht="15" hidden="false" customHeight="false" outlineLevel="0" collapsed="false">
      <c r="B37" s="8" t="s">
        <v>69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3" t="n">
        <f aca="false">SUM(C37:G37)</f>
        <v>0</v>
      </c>
    </row>
    <row r="38" customFormat="false" ht="15" hidden="false" customHeight="false" outlineLevel="0" collapsed="false">
      <c r="B38" s="8" t="s">
        <v>70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3" t="n">
        <f aca="false">SUM(C38:G38)</f>
        <v>0</v>
      </c>
    </row>
    <row r="39" customFormat="false" ht="13.5" hidden="false" customHeight="true" outlineLevel="0" collapsed="false">
      <c r="B39" s="31" t="s">
        <v>71</v>
      </c>
      <c r="C39" s="31"/>
      <c r="D39" s="31"/>
      <c r="E39" s="31"/>
      <c r="F39" s="31"/>
      <c r="G39" s="31"/>
      <c r="H39" s="31"/>
    </row>
    <row r="40" customFormat="false" ht="15" hidden="false" customHeight="false" outlineLevel="0" collapsed="false">
      <c r="B40" s="8" t="s">
        <v>72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3" t="n">
        <f aca="false">SUM(C40:G40)</f>
        <v>0</v>
      </c>
    </row>
    <row r="41" customFormat="false" ht="15" hidden="false" customHeight="false" outlineLevel="0" collapsed="false">
      <c r="B41" s="8" t="s">
        <v>73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3" t="n">
        <f aca="false">SUM(C41:G41)</f>
        <v>0</v>
      </c>
    </row>
    <row r="42" customFormat="false" ht="15" hidden="false" customHeight="false" outlineLevel="0" collapsed="false">
      <c r="B42" s="8" t="s">
        <v>74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3" t="n">
        <f aca="false">SUM(C42:G42)</f>
        <v>0</v>
      </c>
    </row>
    <row r="43" customFormat="false" ht="15" hidden="false" customHeight="false" outlineLevel="0" collapsed="false">
      <c r="B43" s="8" t="s">
        <v>75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3" t="n">
        <f aca="false">SUM(C43:G43)</f>
        <v>0</v>
      </c>
    </row>
    <row r="44" customFormat="false" ht="15" hidden="false" customHeight="false" outlineLevel="0" collapsed="false">
      <c r="B44" s="8" t="s">
        <v>76</v>
      </c>
      <c r="C44" s="22" t="n">
        <v>0</v>
      </c>
      <c r="D44" s="22" t="n">
        <v>0</v>
      </c>
      <c r="E44" s="22" t="n">
        <v>0</v>
      </c>
      <c r="F44" s="22" t="n">
        <v>0</v>
      </c>
      <c r="G44" s="22" t="n">
        <v>0</v>
      </c>
      <c r="H44" s="23" t="n">
        <f aca="false">SUM(C44:G44)</f>
        <v>0</v>
      </c>
    </row>
    <row r="45" customFormat="false" ht="15" hidden="false" customHeight="false" outlineLevel="0" collapsed="false">
      <c r="B45" s="8" t="s">
        <v>77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3" t="n">
        <f aca="false">SUM(C45:G45)</f>
        <v>0</v>
      </c>
    </row>
    <row r="46" customFormat="false" ht="15" hidden="false" customHeight="false" outlineLevel="0" collapsed="false">
      <c r="B46" s="8" t="s">
        <v>78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3" t="n">
        <f aca="false">SUM(C46:G46)</f>
        <v>0</v>
      </c>
    </row>
    <row r="47" customFormat="false" ht="15" hidden="false" customHeight="false" outlineLevel="0" collapsed="false">
      <c r="B47" s="8" t="s">
        <v>79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3" t="n">
        <f aca="false">SUM(C47:G47)</f>
        <v>0</v>
      </c>
    </row>
    <row r="48" customFormat="false" ht="15" hidden="false" customHeight="false" outlineLevel="0" collapsed="false">
      <c r="B48" s="8" t="s">
        <v>80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3" t="n">
        <f aca="false">SUM(C48:G48)</f>
        <v>0</v>
      </c>
    </row>
    <row r="49" customFormat="false" ht="15" hidden="false" customHeight="false" outlineLevel="0" collapsed="false">
      <c r="B49" s="8" t="s">
        <v>81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3" t="n">
        <f aca="false">SUM(C49:G49)</f>
        <v>0</v>
      </c>
    </row>
    <row r="50" customFormat="false" ht="15" hidden="false" customHeight="false" outlineLevel="0" collapsed="false">
      <c r="B50" s="8" t="s">
        <v>82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3" t="n">
        <f aca="false">SUM(C50:G50)</f>
        <v>0</v>
      </c>
    </row>
    <row r="51" customFormat="false" ht="15" hidden="false" customHeight="false" outlineLevel="0" collapsed="false">
      <c r="B51" s="32" t="s">
        <v>83</v>
      </c>
      <c r="C51" s="27" t="n">
        <f aca="false">SUM(C40:C50)</f>
        <v>0</v>
      </c>
      <c r="D51" s="27" t="n">
        <f aca="false">SUM(D40:D50)</f>
        <v>0</v>
      </c>
      <c r="E51" s="27" t="n">
        <f aca="false">SUM(E40:E50)</f>
        <v>0</v>
      </c>
      <c r="F51" s="27" t="n">
        <f aca="false">SUM(F40:F50)</f>
        <v>0</v>
      </c>
      <c r="G51" s="27" t="n">
        <f aca="false">SUM(G40:G50)</f>
        <v>0</v>
      </c>
      <c r="H51" s="21" t="n">
        <f aca="false">SUM(C51:G51)</f>
        <v>0</v>
      </c>
    </row>
    <row r="52" customFormat="false" ht="13.5" hidden="false" customHeight="true" outlineLevel="0" collapsed="false">
      <c r="B52" s="31" t="s">
        <v>84</v>
      </c>
      <c r="C52" s="31"/>
      <c r="D52" s="31"/>
      <c r="E52" s="31"/>
      <c r="F52" s="31"/>
      <c r="G52" s="31"/>
      <c r="H52" s="31"/>
    </row>
    <row r="53" customFormat="false" ht="15" hidden="false" customHeight="false" outlineLevel="0" collapsed="false">
      <c r="B53" s="28" t="s">
        <v>85</v>
      </c>
      <c r="C53" s="29" t="n">
        <f aca="false">MAX(0,-C117)</f>
        <v>-0</v>
      </c>
      <c r="D53" s="29" t="n">
        <f aca="false">MAX(0,-D117)</f>
        <v>-0</v>
      </c>
      <c r="E53" s="29" t="n">
        <f aca="false">MAX(0,-E117)</f>
        <v>-0</v>
      </c>
      <c r="F53" s="29" t="n">
        <f aca="false">MAX(0,-F117)</f>
        <v>-0</v>
      </c>
      <c r="G53" s="29" t="n">
        <f aca="false">MAX(0,-G117)</f>
        <v>-0</v>
      </c>
      <c r="H53" s="23" t="n">
        <f aca="false">SUM(C53:G53)</f>
        <v>0</v>
      </c>
    </row>
    <row r="54" customFormat="false" ht="15" hidden="false" customHeight="false" outlineLevel="0" collapsed="false">
      <c r="B54" s="32" t="s">
        <v>86</v>
      </c>
      <c r="C54" s="27" t="n">
        <f aca="false">C37+C38+C51+C53</f>
        <v>0</v>
      </c>
      <c r="D54" s="27" t="n">
        <f aca="false">D37+D38+D51+D53</f>
        <v>0</v>
      </c>
      <c r="E54" s="27" t="n">
        <f aca="false">E37+E38+E51+E53</f>
        <v>0</v>
      </c>
      <c r="F54" s="27" t="n">
        <f aca="false">F37+F38+F51+F53</f>
        <v>0</v>
      </c>
      <c r="G54" s="27" t="n">
        <f aca="false">G37+G38+G51+G53</f>
        <v>0</v>
      </c>
      <c r="H54" s="21" t="n">
        <f aca="false">SUM(C54:G54)</f>
        <v>0</v>
      </c>
    </row>
    <row r="55" customFormat="false" ht="13.5" hidden="false" customHeight="true" outlineLevel="0" collapsed="false">
      <c r="B55" s="33" t="s">
        <v>87</v>
      </c>
      <c r="C55" s="33"/>
      <c r="D55" s="33"/>
      <c r="E55" s="33"/>
      <c r="F55" s="33"/>
      <c r="G55" s="33"/>
      <c r="H55" s="33"/>
    </row>
    <row r="56" customFormat="false" ht="15" hidden="false" customHeight="false" outlineLevel="0" collapsed="false">
      <c r="B56" s="34" t="s">
        <v>88</v>
      </c>
      <c r="C56" s="29" t="n">
        <f aca="false">C17+C35-C54</f>
        <v>0</v>
      </c>
      <c r="D56" s="29" t="n">
        <f aca="false">D17+D35-D54</f>
        <v>0</v>
      </c>
      <c r="E56" s="29" t="n">
        <f aca="false">E17+E35-E54</f>
        <v>0</v>
      </c>
      <c r="F56" s="29" t="n">
        <f aca="false">F17+F35-F54</f>
        <v>0</v>
      </c>
      <c r="G56" s="29" t="n">
        <f aca="false">G17+G35-G54</f>
        <v>0</v>
      </c>
      <c r="H56" s="23" t="n">
        <f aca="false">SUM(C56:G56)</f>
        <v>0</v>
      </c>
    </row>
    <row r="57" customFormat="false" ht="15" hidden="false" customHeight="false" outlineLevel="0" collapsed="false">
      <c r="B57" s="35" t="s">
        <v>89</v>
      </c>
      <c r="C57" s="29" t="n">
        <f aca="false">MAX(0,-C56)</f>
        <v>-0</v>
      </c>
      <c r="D57" s="29" t="n">
        <f aca="false">MAX(0,-D56)</f>
        <v>-0</v>
      </c>
      <c r="E57" s="29" t="n">
        <f aca="false">MAX(0,-E56)</f>
        <v>-0</v>
      </c>
      <c r="F57" s="29" t="n">
        <f aca="false">MAX(0,-F56)</f>
        <v>-0</v>
      </c>
      <c r="G57" s="29" t="n">
        <f aca="false">MAX(0,-G56)</f>
        <v>-0</v>
      </c>
      <c r="H57" s="23" t="n">
        <f aca="false">SUM(C57:G57)</f>
        <v>0</v>
      </c>
    </row>
    <row r="58" customFormat="false" ht="15" hidden="false" customHeight="false" outlineLevel="0" collapsed="false">
      <c r="B58" s="28" t="s">
        <v>138</v>
      </c>
      <c r="C58" s="39" t="n">
        <f aca="false">MIN('2021'!C57,MAX(0,C56))</f>
        <v>0</v>
      </c>
      <c r="D58" s="39" t="n">
        <f aca="false">MIN('2021'!D57,MAX(0,D56))</f>
        <v>0</v>
      </c>
      <c r="E58" s="39" t="n">
        <f aca="false">MIN('2021'!E57,MAX(0,E56))</f>
        <v>0</v>
      </c>
      <c r="F58" s="39" t="n">
        <f aca="false">MIN('2021'!F57,MAX(0,F56))</f>
        <v>0</v>
      </c>
      <c r="G58" s="39" t="n">
        <f aca="false">MIN('2021'!G57,MAX(0,G56))</f>
        <v>0</v>
      </c>
      <c r="H58" s="23" t="n">
        <f aca="false">SUM(C58:G58)</f>
        <v>0</v>
      </c>
    </row>
    <row r="59" customFormat="false" ht="18" hidden="false" customHeight="true" outlineLevel="0" collapsed="false">
      <c r="B59" s="36" t="s">
        <v>139</v>
      </c>
      <c r="C59" s="27" t="n">
        <f aca="false">MAX(0,C56)-C58</f>
        <v>0</v>
      </c>
      <c r="D59" s="27" t="n">
        <f aca="false">MAX(0,D56)-D58</f>
        <v>0</v>
      </c>
      <c r="E59" s="27" t="n">
        <f aca="false">MAX(0,E56)-E58</f>
        <v>0</v>
      </c>
      <c r="F59" s="27" t="n">
        <f aca="false">MAX(0,F56)-F58</f>
        <v>0</v>
      </c>
      <c r="G59" s="27" t="n">
        <f aca="false">MAX(0,G56)-G58</f>
        <v>0</v>
      </c>
      <c r="H59" s="21" t="n">
        <f aca="false">SUM(C59:G59)</f>
        <v>0</v>
      </c>
    </row>
    <row r="60" customFormat="false" ht="3.75" hidden="false" customHeight="true" outlineLevel="0" collapsed="false"/>
    <row r="61" customFormat="false" ht="15" hidden="false" customHeight="false" outlineLevel="0" collapsed="false">
      <c r="B61" s="37" t="s">
        <v>140</v>
      </c>
      <c r="C61" s="37"/>
      <c r="D61" s="37"/>
      <c r="E61" s="37"/>
      <c r="F61" s="37"/>
      <c r="G61" s="37"/>
      <c r="H61" s="37"/>
    </row>
    <row r="62" customFormat="false" ht="19.5" hidden="false" customHeight="true" outlineLevel="0" collapsed="false">
      <c r="B62" s="38" t="s">
        <v>93</v>
      </c>
      <c r="C62" s="38"/>
      <c r="D62" s="38"/>
      <c r="E62" s="38"/>
      <c r="F62" s="38"/>
      <c r="G62" s="38"/>
      <c r="H62" s="38"/>
    </row>
    <row r="63" customFormat="false" ht="33.75" hidden="false" customHeight="true" outlineLevel="0" collapsed="false">
      <c r="B63" s="12" t="s">
        <v>94</v>
      </c>
      <c r="C63" s="13" t="s">
        <v>25</v>
      </c>
      <c r="D63" s="13" t="s">
        <v>27</v>
      </c>
      <c r="E63" s="13" t="s">
        <v>29</v>
      </c>
      <c r="F63" s="13" t="s">
        <v>30</v>
      </c>
      <c r="G63" s="13" t="s">
        <v>32</v>
      </c>
      <c r="H63" s="12" t="s">
        <v>48</v>
      </c>
    </row>
    <row r="64" customFormat="false" ht="3.75" hidden="false" customHeight="true" outlineLevel="0" collapsed="false"/>
    <row r="65" customFormat="false" ht="15" hidden="false" customHeight="false" outlineLevel="0" collapsed="false">
      <c r="B65" s="19" t="s">
        <v>95</v>
      </c>
      <c r="C65" s="20" t="n">
        <f aca="false">'2021'!C86</f>
        <v>0</v>
      </c>
      <c r="D65" s="20" t="n">
        <f aca="false">'2021'!D86</f>
        <v>0</v>
      </c>
      <c r="E65" s="20" t="n">
        <f aca="false">'2021'!E86</f>
        <v>0</v>
      </c>
      <c r="F65" s="20" t="n">
        <f aca="false">'2021'!F86</f>
        <v>0</v>
      </c>
      <c r="G65" s="20" t="n">
        <f aca="false">'2021'!G86</f>
        <v>0</v>
      </c>
      <c r="H65" s="21" t="n">
        <f aca="false">SUM(C65:G65)</f>
        <v>0</v>
      </c>
    </row>
    <row r="66" customFormat="false" ht="13.5" hidden="false" customHeight="true" outlineLevel="0" collapsed="false">
      <c r="B66" s="17" t="s">
        <v>96</v>
      </c>
      <c r="C66" s="17"/>
      <c r="D66" s="17"/>
      <c r="E66" s="17"/>
      <c r="F66" s="17"/>
      <c r="G66" s="17"/>
      <c r="H66" s="17"/>
    </row>
    <row r="67" customFormat="false" ht="15" hidden="false" customHeight="false" outlineLevel="0" collapsed="false">
      <c r="B67" s="35" t="s">
        <v>97</v>
      </c>
      <c r="C67" s="29" t="n">
        <f aca="false">C19</f>
        <v>0</v>
      </c>
      <c r="D67" s="29" t="n">
        <f aca="false">D19</f>
        <v>0</v>
      </c>
      <c r="E67" s="29" t="n">
        <f aca="false">E19</f>
        <v>0</v>
      </c>
      <c r="F67" s="29" t="n">
        <f aca="false">F19</f>
        <v>0</v>
      </c>
      <c r="G67" s="29" t="n">
        <f aca="false">G19</f>
        <v>0</v>
      </c>
      <c r="H67" s="23" t="n">
        <f aca="false">SUM(C67:G67)</f>
        <v>0</v>
      </c>
    </row>
    <row r="68" customFormat="false" ht="15" hidden="false" customHeight="false" outlineLevel="0" collapsed="false">
      <c r="B68" s="35" t="s">
        <v>98</v>
      </c>
      <c r="C68" s="29" t="n">
        <f aca="false">C20</f>
        <v>0</v>
      </c>
      <c r="D68" s="29" t="n">
        <f aca="false">D20</f>
        <v>0</v>
      </c>
      <c r="E68" s="29" t="n">
        <f aca="false">E20</f>
        <v>0</v>
      </c>
      <c r="F68" s="29" t="n">
        <f aca="false">F20</f>
        <v>0</v>
      </c>
      <c r="G68" s="29" t="n">
        <f aca="false">G20</f>
        <v>0</v>
      </c>
      <c r="H68" s="23" t="n">
        <f aca="false">SUM(C68:G68)</f>
        <v>0</v>
      </c>
    </row>
    <row r="69" customFormat="false" ht="15" hidden="false" customHeight="false" outlineLevel="0" collapsed="false">
      <c r="B69" s="35" t="s">
        <v>99</v>
      </c>
      <c r="C69" s="29" t="n">
        <f aca="false">C96</f>
        <v>0</v>
      </c>
      <c r="D69" s="29" t="n">
        <f aca="false">D96</f>
        <v>0</v>
      </c>
      <c r="E69" s="29" t="n">
        <f aca="false">E96</f>
        <v>0</v>
      </c>
      <c r="F69" s="29" t="n">
        <f aca="false">F96</f>
        <v>0</v>
      </c>
      <c r="G69" s="29" t="n">
        <f aca="false">G96</f>
        <v>0</v>
      </c>
      <c r="H69" s="23" t="n">
        <f aca="false">SUM(C69:G69)</f>
        <v>0</v>
      </c>
    </row>
    <row r="70" customFormat="false" ht="15" hidden="false" customHeight="false" outlineLevel="0" collapsed="false">
      <c r="B70" s="35" t="s">
        <v>100</v>
      </c>
      <c r="C70" s="39" t="n">
        <f aca="false">MAX(0,C112-'2021'!C112)</f>
        <v>0</v>
      </c>
      <c r="D70" s="39" t="n">
        <f aca="false">MAX(0,D112-'2021'!D112)</f>
        <v>0</v>
      </c>
      <c r="E70" s="39" t="n">
        <f aca="false">MAX(0,E112-'2021'!E112)</f>
        <v>0</v>
      </c>
      <c r="F70" s="39" t="n">
        <f aca="false">MAX(0,F112-'2021'!F112)</f>
        <v>0</v>
      </c>
      <c r="G70" s="39" t="n">
        <f aca="false">MAX(0,G112-'2021'!G112)</f>
        <v>0</v>
      </c>
      <c r="H70" s="23" t="n">
        <f aca="false">SUM(C70:G70)</f>
        <v>0</v>
      </c>
    </row>
    <row r="71" customFormat="false" ht="15" hidden="false" customHeight="false" outlineLevel="0" collapsed="false">
      <c r="B71" s="35" t="s">
        <v>101</v>
      </c>
      <c r="C71" s="29" t="n">
        <f aca="false">C32</f>
        <v>0</v>
      </c>
      <c r="D71" s="29" t="n">
        <f aca="false">D32</f>
        <v>0</v>
      </c>
      <c r="E71" s="29" t="n">
        <f aca="false">E32</f>
        <v>0</v>
      </c>
      <c r="F71" s="29" t="n">
        <f aca="false">F32</f>
        <v>0</v>
      </c>
      <c r="G71" s="29" t="n">
        <f aca="false">G32</f>
        <v>0</v>
      </c>
      <c r="H71" s="23" t="n">
        <f aca="false">SUM(C71:G71)</f>
        <v>0</v>
      </c>
    </row>
    <row r="72" customFormat="false" ht="15" hidden="false" customHeight="false" outlineLevel="0" collapsed="false">
      <c r="B72" s="8" t="s">
        <v>102</v>
      </c>
      <c r="C72" s="22" t="n">
        <v>0</v>
      </c>
      <c r="D72" s="22" t="n">
        <v>0</v>
      </c>
      <c r="E72" s="22" t="n">
        <v>0</v>
      </c>
      <c r="F72" s="22" t="n">
        <v>0</v>
      </c>
      <c r="G72" s="22" t="n">
        <v>0</v>
      </c>
      <c r="H72" s="23" t="n">
        <f aca="false">SUM(C72:G72)</f>
        <v>0</v>
      </c>
    </row>
    <row r="73" customFormat="false" ht="15" hidden="false" customHeight="false" outlineLevel="0" collapsed="false">
      <c r="B73" s="26" t="s">
        <v>103</v>
      </c>
      <c r="C73" s="27" t="n">
        <f aca="false">C67+C68+C69+C70+C71+C72</f>
        <v>0</v>
      </c>
      <c r="D73" s="27" t="n">
        <f aca="false">D67+D68+D69+D70+D71+D72</f>
        <v>0</v>
      </c>
      <c r="E73" s="27" t="n">
        <f aca="false">E67+E68+E69+E70+E71+E72</f>
        <v>0</v>
      </c>
      <c r="F73" s="27" t="n">
        <f aca="false">F67+F68+F69+F70+F71+F72</f>
        <v>0</v>
      </c>
      <c r="G73" s="27" t="n">
        <f aca="false">G67+G68+G69+G70+G71+G72</f>
        <v>0</v>
      </c>
      <c r="H73" s="21" t="n">
        <f aca="false">SUM(C73:G73)</f>
        <v>0</v>
      </c>
    </row>
    <row r="74" customFormat="false" ht="13.5" hidden="false" customHeight="true" outlineLevel="0" collapsed="false">
      <c r="B74" s="30" t="s">
        <v>104</v>
      </c>
      <c r="C74" s="30"/>
      <c r="D74" s="30"/>
      <c r="E74" s="30"/>
      <c r="F74" s="30"/>
      <c r="G74" s="30"/>
      <c r="H74" s="30"/>
    </row>
    <row r="75" customFormat="false" ht="15" hidden="false" customHeight="false" outlineLevel="0" collapsed="false">
      <c r="B75" s="35" t="s">
        <v>105</v>
      </c>
      <c r="C75" s="29" t="n">
        <f aca="false">C37</f>
        <v>0</v>
      </c>
      <c r="D75" s="29" t="n">
        <f aca="false">D37</f>
        <v>0</v>
      </c>
      <c r="E75" s="29" t="n">
        <f aca="false">E37</f>
        <v>0</v>
      </c>
      <c r="F75" s="29" t="n">
        <f aca="false">F37</f>
        <v>0</v>
      </c>
      <c r="G75" s="29" t="n">
        <f aca="false">G37</f>
        <v>0</v>
      </c>
      <c r="H75" s="23" t="n">
        <f aca="false">SUM(C75:G75)</f>
        <v>0</v>
      </c>
    </row>
    <row r="76" customFormat="false" ht="15" hidden="false" customHeight="false" outlineLevel="0" collapsed="false">
      <c r="B76" s="35" t="s">
        <v>106</v>
      </c>
      <c r="C76" s="29" t="n">
        <f aca="false">C38</f>
        <v>0</v>
      </c>
      <c r="D76" s="29" t="n">
        <f aca="false">D38</f>
        <v>0</v>
      </c>
      <c r="E76" s="29" t="n">
        <f aca="false">E38</f>
        <v>0</v>
      </c>
      <c r="F76" s="29" t="n">
        <f aca="false">F38</f>
        <v>0</v>
      </c>
      <c r="G76" s="29" t="n">
        <f aca="false">G38</f>
        <v>0</v>
      </c>
      <c r="H76" s="23" t="n">
        <f aca="false">SUM(C76:G76)</f>
        <v>0</v>
      </c>
    </row>
    <row r="77" customFormat="false" ht="15" hidden="false" customHeight="false" outlineLevel="0" collapsed="false">
      <c r="B77" s="35" t="s">
        <v>107</v>
      </c>
      <c r="C77" s="29" t="n">
        <f aca="false">C97</f>
        <v>0</v>
      </c>
      <c r="D77" s="29" t="n">
        <f aca="false">D97</f>
        <v>0</v>
      </c>
      <c r="E77" s="29" t="n">
        <f aca="false">E97</f>
        <v>0</v>
      </c>
      <c r="F77" s="29" t="n">
        <f aca="false">F97</f>
        <v>0</v>
      </c>
      <c r="G77" s="29" t="n">
        <f aca="false">G97</f>
        <v>0</v>
      </c>
      <c r="H77" s="23" t="n">
        <f aca="false">SUM(C77:G77)</f>
        <v>0</v>
      </c>
    </row>
    <row r="78" customFormat="false" ht="15" hidden="false" customHeight="false" outlineLevel="0" collapsed="false">
      <c r="B78" s="35" t="s">
        <v>108</v>
      </c>
      <c r="C78" s="39" t="n">
        <f aca="false">MAX(0,'2021'!C112-C112)</f>
        <v>0</v>
      </c>
      <c r="D78" s="39" t="n">
        <f aca="false">MAX(0,'2021'!D112-D112)</f>
        <v>0</v>
      </c>
      <c r="E78" s="39" t="n">
        <f aca="false">MAX(0,'2021'!E112-E112)</f>
        <v>0</v>
      </c>
      <c r="F78" s="39" t="n">
        <f aca="false">MAX(0,'2021'!F112-F112)</f>
        <v>0</v>
      </c>
      <c r="G78" s="39" t="n">
        <f aca="false">MAX(0,'2021'!G112-G112)</f>
        <v>0</v>
      </c>
      <c r="H78" s="23" t="n">
        <f aca="false">SUM(C78:G78)</f>
        <v>0</v>
      </c>
    </row>
    <row r="79" customFormat="false" ht="15" hidden="false" customHeight="false" outlineLevel="0" collapsed="false">
      <c r="B79" s="35" t="s">
        <v>109</v>
      </c>
      <c r="C79" s="29" t="n">
        <f aca="false">C51</f>
        <v>0</v>
      </c>
      <c r="D79" s="29" t="n">
        <f aca="false">D51</f>
        <v>0</v>
      </c>
      <c r="E79" s="29" t="n">
        <f aca="false">E51</f>
        <v>0</v>
      </c>
      <c r="F79" s="29" t="n">
        <f aca="false">F51</f>
        <v>0</v>
      </c>
      <c r="G79" s="29" t="n">
        <f aca="false">G51</f>
        <v>0</v>
      </c>
      <c r="H79" s="23" t="n">
        <f aca="false">SUM(C79:G79)</f>
        <v>0</v>
      </c>
    </row>
    <row r="80" customFormat="false" ht="15" hidden="false" customHeight="false" outlineLevel="0" collapsed="false">
      <c r="B80" s="8" t="s">
        <v>110</v>
      </c>
      <c r="C80" s="22" t="n">
        <v>0</v>
      </c>
      <c r="D80" s="22" t="n">
        <v>0</v>
      </c>
      <c r="E80" s="22" t="n">
        <v>0</v>
      </c>
      <c r="F80" s="22" t="n">
        <v>0</v>
      </c>
      <c r="G80" s="22" t="n">
        <v>0</v>
      </c>
      <c r="H80" s="23" t="n">
        <f aca="false">SUM(C80:G80)</f>
        <v>0</v>
      </c>
    </row>
    <row r="81" customFormat="false" ht="15" hidden="false" customHeight="false" outlineLevel="0" collapsed="false">
      <c r="B81" s="32" t="s">
        <v>111</v>
      </c>
      <c r="C81" s="27" t="n">
        <f aca="false">C75+C76+C77+C78+C79+C80</f>
        <v>0</v>
      </c>
      <c r="D81" s="27" t="n">
        <f aca="false">D75+D76+D77+D78+D79+D80</f>
        <v>0</v>
      </c>
      <c r="E81" s="27" t="n">
        <f aca="false">E75+E76+E77+E78+E79+E80</f>
        <v>0</v>
      </c>
      <c r="F81" s="27" t="n">
        <f aca="false">F75+F76+F77+F78+F79+F80</f>
        <v>0</v>
      </c>
      <c r="G81" s="27" t="n">
        <f aca="false">G75+G76+G77+G78+G79+G80</f>
        <v>0</v>
      </c>
      <c r="H81" s="21" t="n">
        <f aca="false">SUM(C81:G81)</f>
        <v>0</v>
      </c>
    </row>
    <row r="82" customFormat="false" ht="15" hidden="false" customHeight="false" outlineLevel="0" collapsed="false">
      <c r="B82" s="34" t="s">
        <v>112</v>
      </c>
      <c r="C82" s="29" t="n">
        <f aca="false">C65+C73-C81</f>
        <v>0</v>
      </c>
      <c r="D82" s="29" t="n">
        <f aca="false">D65+D73-D81</f>
        <v>0</v>
      </c>
      <c r="E82" s="29" t="n">
        <f aca="false">E65+E73-E81</f>
        <v>0</v>
      </c>
      <c r="F82" s="29" t="n">
        <f aca="false">F65+F73-F81</f>
        <v>0</v>
      </c>
      <c r="G82" s="29" t="n">
        <f aca="false">G65+G73-G81</f>
        <v>0</v>
      </c>
      <c r="H82" s="23" t="n">
        <f aca="false">SUM(C82:G82)</f>
        <v>0</v>
      </c>
    </row>
    <row r="83" customFormat="false" ht="13.5" hidden="false" customHeight="true" outlineLevel="0" collapsed="false">
      <c r="B83" s="33" t="s">
        <v>113</v>
      </c>
      <c r="C83" s="33"/>
      <c r="D83" s="33"/>
      <c r="E83" s="33"/>
      <c r="F83" s="33"/>
      <c r="G83" s="33"/>
      <c r="H83" s="33"/>
    </row>
    <row r="84" customFormat="false" ht="15" hidden="false" customHeight="false" outlineLevel="0" collapsed="false">
      <c r="B84" s="35" t="s">
        <v>114</v>
      </c>
      <c r="C84" s="29" t="n">
        <f aca="false">MAX(0,-C82)</f>
        <v>-0</v>
      </c>
      <c r="D84" s="29" t="n">
        <f aca="false">MAX(0,-D82)</f>
        <v>-0</v>
      </c>
      <c r="E84" s="29" t="n">
        <f aca="false">MAX(0,-E82)</f>
        <v>-0</v>
      </c>
      <c r="F84" s="29" t="n">
        <f aca="false">MAX(0,-F82)</f>
        <v>-0</v>
      </c>
      <c r="G84" s="29" t="n">
        <f aca="false">MAX(0,-G82)</f>
        <v>-0</v>
      </c>
      <c r="H84" s="23" t="n">
        <f aca="false">SUM(C84:G84)</f>
        <v>0</v>
      </c>
    </row>
    <row r="85" customFormat="false" ht="15" hidden="false" customHeight="false" outlineLevel="0" collapsed="false">
      <c r="B85" s="28" t="s">
        <v>141</v>
      </c>
      <c r="C85" s="39" t="n">
        <f aca="false">MIN('2021'!C84,MAX(0,C82))</f>
        <v>0</v>
      </c>
      <c r="D85" s="39" t="n">
        <f aca="false">MIN('2021'!D84,MAX(0,D82))</f>
        <v>0</v>
      </c>
      <c r="E85" s="39" t="n">
        <f aca="false">MIN('2021'!E84,MAX(0,E82))</f>
        <v>0</v>
      </c>
      <c r="F85" s="39" t="n">
        <f aca="false">MIN('2021'!F84,MAX(0,F82))</f>
        <v>0</v>
      </c>
      <c r="G85" s="39" t="n">
        <f aca="false">MIN('2021'!G84,MAX(0,G82))</f>
        <v>0</v>
      </c>
      <c r="H85" s="23" t="n">
        <f aca="false">SUM(C85:G85)</f>
        <v>0</v>
      </c>
    </row>
    <row r="86" customFormat="false" ht="18" hidden="false" customHeight="true" outlineLevel="0" collapsed="false">
      <c r="B86" s="36" t="s">
        <v>142</v>
      </c>
      <c r="C86" s="27" t="n">
        <f aca="false">MAX(0,C82)-C85</f>
        <v>0</v>
      </c>
      <c r="D86" s="27" t="n">
        <f aca="false">MAX(0,D82)-D85</f>
        <v>0</v>
      </c>
      <c r="E86" s="27" t="n">
        <f aca="false">MAX(0,E82)-E85</f>
        <v>0</v>
      </c>
      <c r="F86" s="27" t="n">
        <f aca="false">MAX(0,F82)-F85</f>
        <v>0</v>
      </c>
      <c r="G86" s="27" t="n">
        <f aca="false">MAX(0,G82)-G85</f>
        <v>0</v>
      </c>
      <c r="H86" s="21" t="n">
        <f aca="false">SUM(C86:G86)</f>
        <v>0</v>
      </c>
    </row>
    <row r="87" customFormat="false" ht="15" hidden="false" customHeight="false" outlineLevel="0" collapsed="false">
      <c r="B87" s="40" t="s">
        <v>117</v>
      </c>
      <c r="C87" s="27" t="n">
        <f aca="false">MIN(C59,C86)</f>
        <v>0</v>
      </c>
      <c r="D87" s="27" t="n">
        <f aca="false">MIN(D59,D86)</f>
        <v>0</v>
      </c>
      <c r="E87" s="27" t="n">
        <f aca="false">MIN(E59,E86)</f>
        <v>0</v>
      </c>
      <c r="F87" s="27" t="n">
        <f aca="false">MIN(F59,F86)</f>
        <v>0</v>
      </c>
      <c r="G87" s="27" t="n">
        <f aca="false">MIN(G59,G86)</f>
        <v>0</v>
      </c>
      <c r="H87" s="21" t="n">
        <f aca="false">SUM(C87:G87)</f>
        <v>0</v>
      </c>
    </row>
    <row r="88" customFormat="false" ht="3.75" hidden="false" customHeight="true" outlineLevel="0" collapsed="false"/>
    <row r="89" customFormat="false" ht="15" hidden="false" customHeight="false" outlineLevel="0" collapsed="false">
      <c r="B89" s="3" t="s">
        <v>143</v>
      </c>
      <c r="C89" s="3"/>
      <c r="D89" s="3"/>
      <c r="E89" s="3"/>
      <c r="F89" s="3"/>
      <c r="G89" s="3"/>
      <c r="H89" s="3"/>
    </row>
    <row r="90" customFormat="false" ht="19.5" hidden="false" customHeight="true" outlineLevel="0" collapsed="false">
      <c r="B90" s="2" t="s">
        <v>119</v>
      </c>
      <c r="C90" s="2"/>
      <c r="D90" s="2"/>
      <c r="E90" s="2"/>
      <c r="F90" s="2"/>
      <c r="G90" s="2"/>
      <c r="H90" s="2"/>
    </row>
    <row r="91" customFormat="false" ht="30" hidden="false" customHeight="true" outlineLevel="0" collapsed="false">
      <c r="B91" s="12" t="s">
        <v>120</v>
      </c>
      <c r="C91" s="13" t="s">
        <v>25</v>
      </c>
      <c r="D91" s="13" t="s">
        <v>27</v>
      </c>
      <c r="E91" s="13" t="s">
        <v>29</v>
      </c>
      <c r="F91" s="13" t="s">
        <v>30</v>
      </c>
      <c r="G91" s="13" t="s">
        <v>32</v>
      </c>
      <c r="H91" s="13" t="s">
        <v>121</v>
      </c>
    </row>
    <row r="92" customFormat="false" ht="3.75" hidden="false" customHeight="true" outlineLevel="0" collapsed="false"/>
    <row r="93" customFormat="false" ht="13.5" hidden="false" customHeight="true" outlineLevel="0" collapsed="false">
      <c r="B93" s="3" t="s">
        <v>122</v>
      </c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B94" s="4" t="s">
        <v>123</v>
      </c>
      <c r="C94" s="41" t="n">
        <v>0</v>
      </c>
      <c r="D94" s="42" t="s">
        <v>124</v>
      </c>
      <c r="E94" s="42"/>
      <c r="F94" s="42"/>
      <c r="G94" s="42"/>
    </row>
    <row r="95" customFormat="false" ht="15" hidden="false" customHeight="false" outlineLevel="0" collapsed="false">
      <c r="B95" s="35" t="s">
        <v>125</v>
      </c>
      <c r="C95" s="43" t="n">
        <f aca="false">'2021'!C98</f>
        <v>0</v>
      </c>
      <c r="D95" s="43" t="n">
        <f aca="false">'2021'!D98</f>
        <v>0</v>
      </c>
      <c r="E95" s="43" t="n">
        <f aca="false">'2021'!E98</f>
        <v>0</v>
      </c>
      <c r="F95" s="43" t="n">
        <f aca="false">'2021'!F98</f>
        <v>0</v>
      </c>
      <c r="G95" s="43" t="n">
        <f aca="false">'2021'!G98</f>
        <v>0</v>
      </c>
      <c r="H95" s="44" t="n">
        <f aca="false">SUM(C95:G95)</f>
        <v>0</v>
      </c>
    </row>
    <row r="96" customFormat="false" ht="15" hidden="false" customHeight="false" outlineLevel="0" collapsed="false">
      <c r="B96" s="35" t="s">
        <v>126</v>
      </c>
      <c r="C96" s="41" t="n">
        <v>0</v>
      </c>
      <c r="D96" s="41" t="n">
        <v>0</v>
      </c>
      <c r="E96" s="41" t="n">
        <v>0</v>
      </c>
      <c r="F96" s="41" t="n">
        <v>0</v>
      </c>
      <c r="G96" s="41" t="n">
        <v>0</v>
      </c>
      <c r="H96" s="44" t="n">
        <f aca="false">SUM(C96:G96)</f>
        <v>0</v>
      </c>
    </row>
    <row r="97" customFormat="false" ht="15" hidden="false" customHeight="false" outlineLevel="0" collapsed="false">
      <c r="B97" s="35" t="s">
        <v>127</v>
      </c>
      <c r="C97" s="41" t="n">
        <v>0</v>
      </c>
      <c r="D97" s="41" t="n">
        <v>0</v>
      </c>
      <c r="E97" s="41" t="n">
        <v>0</v>
      </c>
      <c r="F97" s="41" t="n">
        <v>0</v>
      </c>
      <c r="G97" s="41" t="n">
        <v>0</v>
      </c>
      <c r="H97" s="44" t="n">
        <f aca="false">SUM(C97:G97)</f>
        <v>0</v>
      </c>
    </row>
    <row r="98" customFormat="false" ht="15" hidden="false" customHeight="false" outlineLevel="0" collapsed="false">
      <c r="B98" s="4" t="s">
        <v>128</v>
      </c>
      <c r="C98" s="21" t="n">
        <f aca="false">C95+C96-C97</f>
        <v>0</v>
      </c>
      <c r="D98" s="21" t="n">
        <f aca="false">D95+D96-D97</f>
        <v>0</v>
      </c>
      <c r="E98" s="21" t="n">
        <f aca="false">E95+E96-E97</f>
        <v>0</v>
      </c>
      <c r="F98" s="21" t="n">
        <f aca="false">F95+F96-F97</f>
        <v>0</v>
      </c>
      <c r="G98" s="21" t="n">
        <f aca="false">G95+G96-G97</f>
        <v>0</v>
      </c>
      <c r="H98" s="45" t="str">
        <f aca="false">IF(ABS(C94-SUM(C98:G98))&lt;1,TEXT(SUM(C98:G98),"$#,##0")&amp;" ✓",TEXT(SUM(C98:G98),"$#,##0")&amp;" ⚠ gap")</f>
        <v>$0 ✓</v>
      </c>
    </row>
    <row r="99" customFormat="false" ht="3.75" hidden="false" customHeight="true" outlineLevel="0" collapsed="false"/>
    <row r="100" customFormat="false" ht="13.5" hidden="false" customHeight="true" outlineLevel="0" collapsed="false">
      <c r="B100" s="37" t="s">
        <v>129</v>
      </c>
      <c r="C100" s="37"/>
      <c r="D100" s="37"/>
      <c r="E100" s="37"/>
      <c r="F100" s="37"/>
      <c r="G100" s="37"/>
      <c r="H100" s="37"/>
    </row>
    <row r="101" customFormat="false" ht="15" hidden="false" customHeight="false" outlineLevel="0" collapsed="false">
      <c r="B101" s="4" t="s">
        <v>123</v>
      </c>
      <c r="C101" s="41" t="n">
        <v>0</v>
      </c>
      <c r="D101" s="42" t="s">
        <v>124</v>
      </c>
      <c r="E101" s="42"/>
      <c r="F101" s="42"/>
      <c r="G101" s="42"/>
    </row>
    <row r="102" customFormat="false" ht="15" hidden="false" customHeight="false" outlineLevel="0" collapsed="false">
      <c r="B102" s="35" t="s">
        <v>125</v>
      </c>
      <c r="C102" s="43" t="n">
        <f aca="false">'2021'!C105</f>
        <v>0</v>
      </c>
      <c r="D102" s="43" t="n">
        <f aca="false">'2021'!D105</f>
        <v>0</v>
      </c>
      <c r="E102" s="43" t="n">
        <f aca="false">'2021'!E105</f>
        <v>0</v>
      </c>
      <c r="F102" s="43" t="n">
        <f aca="false">'2021'!F105</f>
        <v>0</v>
      </c>
      <c r="G102" s="43" t="n">
        <f aca="false">'2021'!G105</f>
        <v>0</v>
      </c>
      <c r="H102" s="44" t="n">
        <f aca="false">SUM(C102:G102)</f>
        <v>0</v>
      </c>
    </row>
    <row r="103" customFormat="false" ht="15" hidden="false" customHeight="false" outlineLevel="0" collapsed="false">
      <c r="B103" s="35" t="s">
        <v>126</v>
      </c>
      <c r="C103" s="41" t="n">
        <v>0</v>
      </c>
      <c r="D103" s="41" t="n">
        <v>0</v>
      </c>
      <c r="E103" s="41" t="n">
        <v>0</v>
      </c>
      <c r="F103" s="41" t="n">
        <v>0</v>
      </c>
      <c r="G103" s="41" t="n">
        <v>0</v>
      </c>
      <c r="H103" s="44" t="n">
        <f aca="false">SUM(C103:G103)</f>
        <v>0</v>
      </c>
    </row>
    <row r="104" customFormat="false" ht="15" hidden="false" customHeight="false" outlineLevel="0" collapsed="false">
      <c r="B104" s="35" t="s">
        <v>127</v>
      </c>
      <c r="C104" s="41" t="n">
        <v>0</v>
      </c>
      <c r="D104" s="41" t="n">
        <v>0</v>
      </c>
      <c r="E104" s="41" t="n">
        <v>0</v>
      </c>
      <c r="F104" s="41" t="n">
        <v>0</v>
      </c>
      <c r="G104" s="41" t="n">
        <v>0</v>
      </c>
      <c r="H104" s="44" t="n">
        <f aca="false">SUM(C104:G104)</f>
        <v>0</v>
      </c>
    </row>
    <row r="105" customFormat="false" ht="15" hidden="false" customHeight="false" outlineLevel="0" collapsed="false">
      <c r="B105" s="4" t="s">
        <v>128</v>
      </c>
      <c r="C105" s="21" t="n">
        <f aca="false">C102+C103-C104</f>
        <v>0</v>
      </c>
      <c r="D105" s="21" t="n">
        <f aca="false">D102+D103-D104</f>
        <v>0</v>
      </c>
      <c r="E105" s="21" t="n">
        <f aca="false">E102+E103-E104</f>
        <v>0</v>
      </c>
      <c r="F105" s="21" t="n">
        <f aca="false">F102+F103-F104</f>
        <v>0</v>
      </c>
      <c r="G105" s="21" t="n">
        <f aca="false">G102+G103-G104</f>
        <v>0</v>
      </c>
      <c r="H105" s="45" t="str">
        <f aca="false">IF(ABS(C101-SUM(C105:G105))&lt;1,TEXT(SUM(C105:G105),"$#,##0")&amp;" ✓",TEXT(SUM(C105:G105),"$#,##0")&amp;" ⚠ gap")</f>
        <v>$0 ✓</v>
      </c>
    </row>
    <row r="106" customFormat="false" ht="3.75" hidden="false" customHeight="true" outlineLevel="0" collapsed="false"/>
    <row r="107" customFormat="false" ht="13.5" hidden="false" customHeight="true" outlineLevel="0" collapsed="false">
      <c r="B107" s="17" t="s">
        <v>130</v>
      </c>
      <c r="C107" s="17"/>
      <c r="D107" s="17"/>
      <c r="E107" s="17"/>
      <c r="F107" s="17"/>
      <c r="G107" s="17"/>
      <c r="H107" s="17"/>
    </row>
    <row r="108" customFormat="false" ht="15" hidden="false" customHeight="false" outlineLevel="0" collapsed="false">
      <c r="B108" s="4" t="s">
        <v>123</v>
      </c>
      <c r="C108" s="41" t="n">
        <v>0</v>
      </c>
      <c r="D108" s="42" t="s">
        <v>124</v>
      </c>
      <c r="E108" s="42"/>
      <c r="F108" s="42"/>
      <c r="G108" s="42"/>
    </row>
    <row r="109" customFormat="false" ht="15" hidden="false" customHeight="false" outlineLevel="0" collapsed="false">
      <c r="B109" s="35" t="s">
        <v>125</v>
      </c>
      <c r="C109" s="43" t="n">
        <f aca="false">'2021'!C112</f>
        <v>0</v>
      </c>
      <c r="D109" s="43" t="n">
        <f aca="false">'2021'!D112</f>
        <v>0</v>
      </c>
      <c r="E109" s="43" t="n">
        <f aca="false">'2021'!E112</f>
        <v>0</v>
      </c>
      <c r="F109" s="43" t="n">
        <f aca="false">'2021'!F112</f>
        <v>0</v>
      </c>
      <c r="G109" s="43" t="n">
        <f aca="false">'2021'!G112</f>
        <v>0</v>
      </c>
      <c r="H109" s="44" t="n">
        <f aca="false">SUM(C109:G109)</f>
        <v>0</v>
      </c>
    </row>
    <row r="110" customFormat="false" ht="15" hidden="false" customHeight="false" outlineLevel="0" collapsed="false">
      <c r="B110" s="35" t="s">
        <v>126</v>
      </c>
      <c r="C110" s="41" t="n">
        <v>0</v>
      </c>
      <c r="D110" s="41" t="n">
        <v>0</v>
      </c>
      <c r="E110" s="41" t="n">
        <v>0</v>
      </c>
      <c r="F110" s="41" t="n">
        <v>0</v>
      </c>
      <c r="G110" s="41" t="n">
        <v>0</v>
      </c>
      <c r="H110" s="44" t="n">
        <f aca="false">SUM(C110:G110)</f>
        <v>0</v>
      </c>
    </row>
    <row r="111" customFormat="false" ht="15" hidden="false" customHeight="false" outlineLevel="0" collapsed="false">
      <c r="B111" s="35" t="s">
        <v>127</v>
      </c>
      <c r="C111" s="41" t="n">
        <v>0</v>
      </c>
      <c r="D111" s="41" t="n">
        <v>0</v>
      </c>
      <c r="E111" s="41" t="n">
        <v>0</v>
      </c>
      <c r="F111" s="41" t="n">
        <v>0</v>
      </c>
      <c r="G111" s="41" t="n">
        <v>0</v>
      </c>
      <c r="H111" s="44" t="n">
        <f aca="false">SUM(C111:G111)</f>
        <v>0</v>
      </c>
    </row>
    <row r="112" customFormat="false" ht="15" hidden="false" customHeight="false" outlineLevel="0" collapsed="false">
      <c r="B112" s="4" t="s">
        <v>128</v>
      </c>
      <c r="C112" s="21" t="n">
        <f aca="false">C109+C110-C111</f>
        <v>0</v>
      </c>
      <c r="D112" s="21" t="n">
        <f aca="false">D109+D110-D111</f>
        <v>0</v>
      </c>
      <c r="E112" s="21" t="n">
        <f aca="false">E109+E110-E111</f>
        <v>0</v>
      </c>
      <c r="F112" s="21" t="n">
        <f aca="false">F109+F110-F111</f>
        <v>0</v>
      </c>
      <c r="G112" s="21" t="n">
        <f aca="false">G109+G110-G111</f>
        <v>0</v>
      </c>
      <c r="H112" s="45" t="str">
        <f aca="false">IF(ABS(C108-SUM(C112:G112))&lt;1,TEXT(SUM(C112:G112),"$#,##0")&amp;" ✓",TEXT(SUM(C112:G112),"$#,##0")&amp;" ⚠ gap")</f>
        <v>$0 ✓</v>
      </c>
    </row>
    <row r="113" customFormat="false" ht="3.75" hidden="false" customHeight="true" outlineLevel="0" collapsed="false"/>
    <row r="114" customFormat="false" ht="15" hidden="false" customHeight="false" outlineLevel="0" collapsed="false">
      <c r="B114" s="3" t="s">
        <v>144</v>
      </c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B115" s="35" t="s">
        <v>132</v>
      </c>
      <c r="C115" s="23" t="n">
        <f aca="false">C98+C105+C112</f>
        <v>0</v>
      </c>
      <c r="D115" s="23" t="n">
        <f aca="false">D98+D105+D112</f>
        <v>0</v>
      </c>
      <c r="E115" s="23" t="n">
        <f aca="false">E98+E105+E112</f>
        <v>0</v>
      </c>
      <c r="F115" s="23" t="n">
        <f aca="false">F98+F105+F112</f>
        <v>0</v>
      </c>
      <c r="G115" s="23" t="n">
        <f aca="false">G98+G105+G112</f>
        <v>0</v>
      </c>
      <c r="H115" s="44" t="n">
        <f aca="false">SUM(C115:G115)</f>
        <v>0</v>
      </c>
    </row>
    <row r="116" customFormat="false" ht="15" hidden="false" customHeight="false" outlineLevel="0" collapsed="false">
      <c r="B116" s="35" t="s">
        <v>133</v>
      </c>
      <c r="C116" s="46" t="n">
        <f aca="false">'2021'!C98+'2021'!C105+'2021'!C112</f>
        <v>0</v>
      </c>
      <c r="D116" s="46" t="n">
        <f aca="false">'2021'!D98+'2021'!D105+'2021'!D112</f>
        <v>0</v>
      </c>
      <c r="E116" s="46" t="n">
        <f aca="false">'2021'!E98+'2021'!E105+'2021'!E112</f>
        <v>0</v>
      </c>
      <c r="F116" s="46" t="n">
        <f aca="false">'2021'!F98+'2021'!F105+'2021'!F112</f>
        <v>0</v>
      </c>
      <c r="G116" s="46" t="n">
        <f aca="false">'2021'!G98+'2021'!G105+'2021'!G112</f>
        <v>0</v>
      </c>
      <c r="H116" s="44" t="n">
        <f aca="false">SUM(C116:G116)</f>
        <v>0</v>
      </c>
    </row>
    <row r="117" customFormat="false" ht="15.75" hidden="false" customHeight="true" outlineLevel="0" collapsed="false">
      <c r="B117" s="4" t="s">
        <v>134</v>
      </c>
      <c r="C117" s="21" t="n">
        <f aca="false">C115-C116</f>
        <v>0</v>
      </c>
      <c r="D117" s="21" t="n">
        <f aca="false">D115-D116</f>
        <v>0</v>
      </c>
      <c r="E117" s="21" t="n">
        <f aca="false">E115-E116</f>
        <v>0</v>
      </c>
      <c r="F117" s="21" t="n">
        <f aca="false">F115-F116</f>
        <v>0</v>
      </c>
      <c r="G117" s="21" t="n">
        <f aca="false">G115-G116</f>
        <v>0</v>
      </c>
      <c r="H117" s="44" t="n">
        <f aca="false">SUM(C117:G117)</f>
        <v>0</v>
      </c>
    </row>
  </sheetData>
  <sheetProtection sheet="true" password="c466"/>
  <mergeCells count="27">
    <mergeCell ref="A1:H1"/>
    <mergeCell ref="B2:H2"/>
    <mergeCell ref="B4:H4"/>
    <mergeCell ref="B5:H5"/>
    <mergeCell ref="B13:H13"/>
    <mergeCell ref="B14:H14"/>
    <mergeCell ref="B18:H18"/>
    <mergeCell ref="B21:H21"/>
    <mergeCell ref="B33:H33"/>
    <mergeCell ref="B36:H36"/>
    <mergeCell ref="B39:H39"/>
    <mergeCell ref="B52:H52"/>
    <mergeCell ref="B55:H55"/>
    <mergeCell ref="B61:H61"/>
    <mergeCell ref="B62:H62"/>
    <mergeCell ref="B66:H66"/>
    <mergeCell ref="B74:H74"/>
    <mergeCell ref="B83:H83"/>
    <mergeCell ref="B89:H89"/>
    <mergeCell ref="B90:H90"/>
    <mergeCell ref="B93:H93"/>
    <mergeCell ref="D94:G94"/>
    <mergeCell ref="B100:H100"/>
    <mergeCell ref="D101:G101"/>
    <mergeCell ref="B107:H107"/>
    <mergeCell ref="D108:G108"/>
    <mergeCell ref="B114:H114"/>
  </mergeCells>
  <dataValidations count="2">
    <dataValidation allowBlank="true" error="Enter 0-1 (e.g. 0.20 = 20%)" errorStyle="stop" operator="between" showDropDown="false" showErrorMessage="false" showInputMessage="false" sqref="C9:G11" type="decimal">
      <formula1>0</formula1>
      <formula2>1</formula2>
    </dataValidation>
    <dataValidation allowBlank="false" errorStyle="stop" operator="between" showDropDown="false" showErrorMessage="false" showInputMessage="false" sqref="C8:G8" type="list">
      <formula1>"Active,Closed-Out,New-Transferee"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7" min="3" style="0" width="16"/>
    <col collapsed="false" customWidth="true" hidden="false" outlineLevel="0" max="8" min="8" style="0" width="15"/>
  </cols>
  <sheetData>
    <row r="1" customFormat="false" ht="27.75" hidden="false" customHeight="true" outlineLevel="0" collapsed="false">
      <c r="A1" s="11" t="s">
        <v>145</v>
      </c>
      <c r="B1" s="11"/>
      <c r="C1" s="11"/>
      <c r="D1" s="11"/>
      <c r="E1" s="11"/>
      <c r="F1" s="11"/>
      <c r="G1" s="11"/>
      <c r="H1" s="11"/>
    </row>
    <row r="2" customFormat="false" ht="18" hidden="false" customHeight="true" outlineLevel="0" collapsed="false">
      <c r="B2" s="2" t="s">
        <v>35</v>
      </c>
      <c r="C2" s="2"/>
      <c r="D2" s="2"/>
      <c r="E2" s="2"/>
      <c r="F2" s="2"/>
      <c r="G2" s="2"/>
      <c r="H2" s="2"/>
    </row>
    <row r="3" customFormat="false" ht="3.75" hidden="false" customHeight="true" outlineLevel="0" collapsed="false"/>
    <row r="4" customFormat="false" ht="15" hidden="false" customHeight="false" outlineLevel="0" collapsed="false">
      <c r="B4" s="3" t="s">
        <v>146</v>
      </c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37</v>
      </c>
      <c r="C5" s="2"/>
      <c r="D5" s="2"/>
      <c r="E5" s="2"/>
      <c r="F5" s="2"/>
      <c r="G5" s="2"/>
      <c r="H5" s="2"/>
    </row>
    <row r="6" customFormat="false" ht="30" hidden="false" customHeight="true" outlineLevel="0" collapsed="false">
      <c r="B6" s="12" t="s">
        <v>38</v>
      </c>
      <c r="C6" s="13" t="s">
        <v>25</v>
      </c>
      <c r="D6" s="13" t="s">
        <v>27</v>
      </c>
      <c r="E6" s="13" t="s">
        <v>29</v>
      </c>
      <c r="F6" s="13" t="s">
        <v>30</v>
      </c>
      <c r="G6" s="13" t="s">
        <v>32</v>
      </c>
      <c r="H6" s="13" t="s">
        <v>39</v>
      </c>
    </row>
    <row r="7" customFormat="false" ht="15" hidden="false" customHeight="false" outlineLevel="0" collapsed="false">
      <c r="B7" s="4" t="s">
        <v>18</v>
      </c>
      <c r="C7" s="7" t="s">
        <v>26</v>
      </c>
      <c r="D7" s="7" t="s">
        <v>28</v>
      </c>
      <c r="E7" s="7" t="s">
        <v>28</v>
      </c>
      <c r="F7" s="7" t="s">
        <v>31</v>
      </c>
      <c r="G7" s="7" t="s">
        <v>31</v>
      </c>
    </row>
    <row r="8" customFormat="false" ht="15" hidden="false" customHeight="false" outlineLevel="0" collapsed="false">
      <c r="B8" s="4" t="s">
        <v>40</v>
      </c>
      <c r="C8" s="14" t="s">
        <v>41</v>
      </c>
      <c r="D8" s="14" t="s">
        <v>41</v>
      </c>
      <c r="E8" s="14" t="s">
        <v>41</v>
      </c>
      <c r="F8" s="14" t="s">
        <v>41</v>
      </c>
      <c r="G8" s="14" t="s">
        <v>41</v>
      </c>
    </row>
    <row r="9" customFormat="false" ht="15" hidden="false" customHeight="false" outlineLevel="0" collapsed="false">
      <c r="B9" s="4" t="s">
        <v>42</v>
      </c>
      <c r="C9" s="15" t="n">
        <v>0.2</v>
      </c>
      <c r="D9" s="15" t="n">
        <v>0.2</v>
      </c>
      <c r="E9" s="15" t="n">
        <v>0.2</v>
      </c>
      <c r="F9" s="15" t="n">
        <v>0.2</v>
      </c>
      <c r="G9" s="15" t="n">
        <v>0.2</v>
      </c>
      <c r="H9" s="16" t="str">
        <f aca="false">IF(ABS(SUM(C9:G9)-1)&lt;0.0001,TEXT(SUM(C9:G9),"0.0%")&amp;" ✓",TEXT(SUM(C9:G9),"0.0%")&amp;" ⚠")</f>
        <v>100.0% ✓</v>
      </c>
    </row>
    <row r="10" customFormat="false" ht="15" hidden="false" customHeight="false" outlineLevel="0" collapsed="false">
      <c r="B10" s="4" t="s">
        <v>43</v>
      </c>
      <c r="C10" s="15" t="n">
        <v>0.2</v>
      </c>
      <c r="D10" s="15" t="n">
        <v>0.2</v>
      </c>
      <c r="E10" s="15" t="n">
        <v>0.2</v>
      </c>
      <c r="F10" s="15" t="n">
        <v>0.2</v>
      </c>
      <c r="G10" s="15" t="n">
        <v>0.2</v>
      </c>
      <c r="H10" s="16" t="str">
        <f aca="false">IF(ABS(SUM(C10:G10)-1)&lt;0.0001,TEXT(SUM(C10:G10),"0.0%")&amp;" ✓",TEXT(SUM(C10:G10),"0.0%")&amp;" ⚠")</f>
        <v>100.0% ✓</v>
      </c>
    </row>
    <row r="11" customFormat="false" ht="15" hidden="false" customHeight="false" outlineLevel="0" collapsed="false">
      <c r="B11" s="4" t="s">
        <v>44</v>
      </c>
      <c r="C11" s="15" t="n">
        <v>0.2</v>
      </c>
      <c r="D11" s="15" t="n">
        <v>0.2</v>
      </c>
      <c r="E11" s="15" t="n">
        <v>0.2</v>
      </c>
      <c r="F11" s="15" t="n">
        <v>0.2</v>
      </c>
      <c r="G11" s="15" t="n">
        <v>0.2</v>
      </c>
      <c r="H11" s="16" t="str">
        <f aca="false">IF(ABS(SUM(C11:G11)-1)&lt;0.0001,TEXT(SUM(C11:G11),"0.0%")&amp;" ✓",TEXT(SUM(C11:G11),"0.0%")&amp;" ⚠")</f>
        <v>100.0% ✓</v>
      </c>
    </row>
    <row r="12" customFormat="false" ht="3.75" hidden="false" customHeight="true" outlineLevel="0" collapsed="false"/>
    <row r="13" customFormat="false" ht="15" hidden="false" customHeight="false" outlineLevel="0" collapsed="false">
      <c r="B13" s="17" t="s">
        <v>147</v>
      </c>
      <c r="C13" s="17"/>
      <c r="D13" s="17"/>
      <c r="E13" s="17"/>
      <c r="F13" s="17"/>
      <c r="G13" s="17"/>
      <c r="H13" s="17"/>
    </row>
    <row r="14" customFormat="false" ht="19.5" hidden="false" customHeight="true" outlineLevel="0" collapsed="false">
      <c r="B14" s="18" t="s">
        <v>46</v>
      </c>
      <c r="C14" s="18"/>
      <c r="D14" s="18"/>
      <c r="E14" s="18"/>
      <c r="F14" s="18"/>
      <c r="G14" s="18"/>
      <c r="H14" s="18"/>
    </row>
    <row r="15" customFormat="false" ht="33.75" hidden="false" customHeight="true" outlineLevel="0" collapsed="false">
      <c r="B15" s="12" t="s">
        <v>47</v>
      </c>
      <c r="C15" s="13" t="s">
        <v>25</v>
      </c>
      <c r="D15" s="13" t="s">
        <v>27</v>
      </c>
      <c r="E15" s="13" t="s">
        <v>29</v>
      </c>
      <c r="F15" s="13" t="s">
        <v>30</v>
      </c>
      <c r="G15" s="13" t="s">
        <v>32</v>
      </c>
      <c r="H15" s="13" t="s">
        <v>48</v>
      </c>
    </row>
    <row r="16" customFormat="false" ht="3.75" hidden="false" customHeight="true" outlineLevel="0" collapsed="false"/>
    <row r="17" customFormat="false" ht="15" hidden="false" customHeight="false" outlineLevel="0" collapsed="false">
      <c r="B17" s="19" t="s">
        <v>49</v>
      </c>
      <c r="C17" s="20" t="n">
        <f aca="false">'2022'!C59</f>
        <v>0</v>
      </c>
      <c r="D17" s="20" t="n">
        <f aca="false">'2022'!D59</f>
        <v>0</v>
      </c>
      <c r="E17" s="20" t="n">
        <f aca="false">'2022'!E59</f>
        <v>0</v>
      </c>
      <c r="F17" s="20" t="n">
        <f aca="false">'2022'!F59</f>
        <v>0</v>
      </c>
      <c r="G17" s="20" t="n">
        <f aca="false">'2022'!G59</f>
        <v>0</v>
      </c>
      <c r="H17" s="21" t="n">
        <f aca="false">SUM(C17:G17)</f>
        <v>0</v>
      </c>
    </row>
    <row r="18" customFormat="false" ht="13.5" hidden="false" customHeight="true" outlineLevel="0" collapsed="false">
      <c r="B18" s="17" t="s">
        <v>50</v>
      </c>
      <c r="C18" s="17"/>
      <c r="D18" s="17"/>
      <c r="E18" s="17"/>
      <c r="F18" s="17"/>
      <c r="G18" s="17"/>
      <c r="H18" s="17"/>
    </row>
    <row r="19" customFormat="false" ht="15" hidden="false" customHeight="false" outlineLevel="0" collapsed="false">
      <c r="B19" s="8" t="s">
        <v>51</v>
      </c>
      <c r="C19" s="22" t="n">
        <v>0</v>
      </c>
      <c r="D19" s="22" t="n">
        <v>0</v>
      </c>
      <c r="E19" s="22" t="n">
        <v>0</v>
      </c>
      <c r="F19" s="22" t="n">
        <v>0</v>
      </c>
      <c r="G19" s="22" t="n">
        <v>0</v>
      </c>
      <c r="H19" s="23" t="n">
        <f aca="false">SUM(C19:G19)</f>
        <v>0</v>
      </c>
    </row>
    <row r="20" customFormat="false" ht="15" hidden="false" customHeight="false" outlineLevel="0" collapsed="false">
      <c r="B20" s="8" t="s">
        <v>52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3" t="n">
        <f aca="false">SUM(C20:G20)</f>
        <v>0</v>
      </c>
    </row>
    <row r="21" customFormat="false" ht="13.5" hidden="false" customHeight="true" outlineLevel="0" collapsed="false">
      <c r="B21" s="25" t="s">
        <v>53</v>
      </c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B22" s="8" t="s">
        <v>54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3" t="n">
        <f aca="false">SUM(C22:G22)</f>
        <v>0</v>
      </c>
    </row>
    <row r="23" customFormat="false" ht="15" hidden="false" customHeight="false" outlineLevel="0" collapsed="false">
      <c r="B23" s="8" t="s">
        <v>55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3" t="n">
        <f aca="false">SUM(C23:G23)</f>
        <v>0</v>
      </c>
    </row>
    <row r="24" customFormat="false" ht="15" hidden="false" customHeight="false" outlineLevel="0" collapsed="false">
      <c r="B24" s="8" t="s">
        <v>56</v>
      </c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0</v>
      </c>
      <c r="H24" s="23" t="n">
        <f aca="false">SUM(C24:G24)</f>
        <v>0</v>
      </c>
    </row>
    <row r="25" customFormat="false" ht="15" hidden="false" customHeight="false" outlineLevel="0" collapsed="false">
      <c r="B25" s="8" t="s">
        <v>57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3" t="n">
        <f aca="false">SUM(C25:G25)</f>
        <v>0</v>
      </c>
    </row>
    <row r="26" customFormat="false" ht="15" hidden="false" customHeight="false" outlineLevel="0" collapsed="false">
      <c r="B26" s="8" t="s">
        <v>58</v>
      </c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3" t="n">
        <f aca="false">SUM(C26:G26)</f>
        <v>0</v>
      </c>
    </row>
    <row r="27" customFormat="false" ht="15" hidden="false" customHeight="false" outlineLevel="0" collapsed="false">
      <c r="B27" s="8" t="s">
        <v>59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3" t="n">
        <f aca="false">SUM(C27:G27)</f>
        <v>0</v>
      </c>
    </row>
    <row r="28" customFormat="false" ht="15" hidden="false" customHeight="false" outlineLevel="0" collapsed="false">
      <c r="B28" s="8" t="s">
        <v>60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3" t="n">
        <f aca="false">SUM(C28:G28)</f>
        <v>0</v>
      </c>
    </row>
    <row r="29" customFormat="false" ht="15" hidden="false" customHeight="false" outlineLevel="0" collapsed="false">
      <c r="B29" s="8" t="s">
        <v>61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3" t="n">
        <f aca="false">SUM(C29:G29)</f>
        <v>0</v>
      </c>
    </row>
    <row r="30" customFormat="false" ht="15" hidden="false" customHeight="false" outlineLevel="0" collapsed="false">
      <c r="B30" s="8" t="s">
        <v>62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3" t="n">
        <f aca="false">SUM(C30:G30)</f>
        <v>0</v>
      </c>
    </row>
    <row r="31" customFormat="false" ht="15" hidden="false" customHeight="false" outlineLevel="0" collapsed="false">
      <c r="B31" s="8" t="s">
        <v>63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3" t="n">
        <f aca="false">SUM(C31:G31)</f>
        <v>0</v>
      </c>
    </row>
    <row r="32" customFormat="false" ht="15" hidden="false" customHeight="false" outlineLevel="0" collapsed="false">
      <c r="B32" s="26" t="s">
        <v>64</v>
      </c>
      <c r="C32" s="27" t="n">
        <f aca="false">SUM(C22:C31)</f>
        <v>0</v>
      </c>
      <c r="D32" s="27" t="n">
        <f aca="false">SUM(D22:D31)</f>
        <v>0</v>
      </c>
      <c r="E32" s="27" t="n">
        <f aca="false">SUM(E22:E31)</f>
        <v>0</v>
      </c>
      <c r="F32" s="27" t="n">
        <f aca="false">SUM(F22:F31)</f>
        <v>0</v>
      </c>
      <c r="G32" s="27" t="n">
        <f aca="false">SUM(G22:G31)</f>
        <v>0</v>
      </c>
      <c r="H32" s="21" t="n">
        <f aca="false">SUM(C32:G32)</f>
        <v>0</v>
      </c>
    </row>
    <row r="33" customFormat="false" ht="13.5" hidden="false" customHeight="true" outlineLevel="0" collapsed="false">
      <c r="B33" s="25" t="s">
        <v>65</v>
      </c>
      <c r="C33" s="25"/>
      <c r="D33" s="25"/>
      <c r="E33" s="25"/>
      <c r="F33" s="25"/>
      <c r="G33" s="25"/>
      <c r="H33" s="25"/>
    </row>
    <row r="34" customFormat="false" ht="15" hidden="false" customHeight="false" outlineLevel="0" collapsed="false">
      <c r="B34" s="28" t="s">
        <v>66</v>
      </c>
      <c r="C34" s="29" t="n">
        <f aca="false">MAX(0,C117)</f>
        <v>0</v>
      </c>
      <c r="D34" s="29" t="n">
        <f aca="false">MAX(0,D117)</f>
        <v>0</v>
      </c>
      <c r="E34" s="29" t="n">
        <f aca="false">MAX(0,E117)</f>
        <v>0</v>
      </c>
      <c r="F34" s="29" t="n">
        <f aca="false">MAX(0,F117)</f>
        <v>0</v>
      </c>
      <c r="G34" s="29" t="n">
        <f aca="false">MAX(0,G117)</f>
        <v>0</v>
      </c>
      <c r="H34" s="23" t="n">
        <f aca="false">SUM(C34:G34)</f>
        <v>0</v>
      </c>
    </row>
    <row r="35" customFormat="false" ht="15" hidden="false" customHeight="false" outlineLevel="0" collapsed="false">
      <c r="B35" s="26" t="s">
        <v>67</v>
      </c>
      <c r="C35" s="27" t="n">
        <f aca="false">C19+C20+C32+C34</f>
        <v>0</v>
      </c>
      <c r="D35" s="27" t="n">
        <f aca="false">D19+D20+D32+D34</f>
        <v>0</v>
      </c>
      <c r="E35" s="27" t="n">
        <f aca="false">E19+E20+E32+E34</f>
        <v>0</v>
      </c>
      <c r="F35" s="27" t="n">
        <f aca="false">F19+F20+F32+F34</f>
        <v>0</v>
      </c>
      <c r="G35" s="27" t="n">
        <f aca="false">G19+G20+G32+G34</f>
        <v>0</v>
      </c>
      <c r="H35" s="21" t="n">
        <f aca="false">SUM(C35:G35)</f>
        <v>0</v>
      </c>
    </row>
    <row r="36" customFormat="false" ht="13.5" hidden="false" customHeight="true" outlineLevel="0" collapsed="false">
      <c r="B36" s="30" t="s">
        <v>68</v>
      </c>
      <c r="C36" s="30"/>
      <c r="D36" s="30"/>
      <c r="E36" s="30"/>
      <c r="F36" s="30"/>
      <c r="G36" s="30"/>
      <c r="H36" s="30"/>
    </row>
    <row r="37" customFormat="false" ht="15" hidden="false" customHeight="false" outlineLevel="0" collapsed="false">
      <c r="B37" s="8" t="s">
        <v>69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3" t="n">
        <f aca="false">SUM(C37:G37)</f>
        <v>0</v>
      </c>
    </row>
    <row r="38" customFormat="false" ht="15" hidden="false" customHeight="false" outlineLevel="0" collapsed="false">
      <c r="B38" s="8" t="s">
        <v>70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3" t="n">
        <f aca="false">SUM(C38:G38)</f>
        <v>0</v>
      </c>
    </row>
    <row r="39" customFormat="false" ht="13.5" hidden="false" customHeight="true" outlineLevel="0" collapsed="false">
      <c r="B39" s="31" t="s">
        <v>71</v>
      </c>
      <c r="C39" s="31"/>
      <c r="D39" s="31"/>
      <c r="E39" s="31"/>
      <c r="F39" s="31"/>
      <c r="G39" s="31"/>
      <c r="H39" s="31"/>
    </row>
    <row r="40" customFormat="false" ht="15" hidden="false" customHeight="false" outlineLevel="0" collapsed="false">
      <c r="B40" s="8" t="s">
        <v>72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3" t="n">
        <f aca="false">SUM(C40:G40)</f>
        <v>0</v>
      </c>
    </row>
    <row r="41" customFormat="false" ht="15" hidden="false" customHeight="false" outlineLevel="0" collapsed="false">
      <c r="B41" s="8" t="s">
        <v>73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3" t="n">
        <f aca="false">SUM(C41:G41)</f>
        <v>0</v>
      </c>
    </row>
    <row r="42" customFormat="false" ht="15" hidden="false" customHeight="false" outlineLevel="0" collapsed="false">
      <c r="B42" s="8" t="s">
        <v>74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3" t="n">
        <f aca="false">SUM(C42:G42)</f>
        <v>0</v>
      </c>
    </row>
    <row r="43" customFormat="false" ht="15" hidden="false" customHeight="false" outlineLevel="0" collapsed="false">
      <c r="B43" s="8" t="s">
        <v>75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3" t="n">
        <f aca="false">SUM(C43:G43)</f>
        <v>0</v>
      </c>
    </row>
    <row r="44" customFormat="false" ht="15" hidden="false" customHeight="false" outlineLevel="0" collapsed="false">
      <c r="B44" s="8" t="s">
        <v>76</v>
      </c>
      <c r="C44" s="22" t="n">
        <v>0</v>
      </c>
      <c r="D44" s="22" t="n">
        <v>0</v>
      </c>
      <c r="E44" s="22" t="n">
        <v>0</v>
      </c>
      <c r="F44" s="22" t="n">
        <v>0</v>
      </c>
      <c r="G44" s="22" t="n">
        <v>0</v>
      </c>
      <c r="H44" s="23" t="n">
        <f aca="false">SUM(C44:G44)</f>
        <v>0</v>
      </c>
    </row>
    <row r="45" customFormat="false" ht="15" hidden="false" customHeight="false" outlineLevel="0" collapsed="false">
      <c r="B45" s="8" t="s">
        <v>77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3" t="n">
        <f aca="false">SUM(C45:G45)</f>
        <v>0</v>
      </c>
    </row>
    <row r="46" customFormat="false" ht="15" hidden="false" customHeight="false" outlineLevel="0" collapsed="false">
      <c r="B46" s="8" t="s">
        <v>78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3" t="n">
        <f aca="false">SUM(C46:G46)</f>
        <v>0</v>
      </c>
    </row>
    <row r="47" customFormat="false" ht="15" hidden="false" customHeight="false" outlineLevel="0" collapsed="false">
      <c r="B47" s="8" t="s">
        <v>79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3" t="n">
        <f aca="false">SUM(C47:G47)</f>
        <v>0</v>
      </c>
    </row>
    <row r="48" customFormat="false" ht="15" hidden="false" customHeight="false" outlineLevel="0" collapsed="false">
      <c r="B48" s="8" t="s">
        <v>80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3" t="n">
        <f aca="false">SUM(C48:G48)</f>
        <v>0</v>
      </c>
    </row>
    <row r="49" customFormat="false" ht="15" hidden="false" customHeight="false" outlineLevel="0" collapsed="false">
      <c r="B49" s="8" t="s">
        <v>81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3" t="n">
        <f aca="false">SUM(C49:G49)</f>
        <v>0</v>
      </c>
    </row>
    <row r="50" customFormat="false" ht="15" hidden="false" customHeight="false" outlineLevel="0" collapsed="false">
      <c r="B50" s="8" t="s">
        <v>82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3" t="n">
        <f aca="false">SUM(C50:G50)</f>
        <v>0</v>
      </c>
    </row>
    <row r="51" customFormat="false" ht="15" hidden="false" customHeight="false" outlineLevel="0" collapsed="false">
      <c r="B51" s="32" t="s">
        <v>83</v>
      </c>
      <c r="C51" s="27" t="n">
        <f aca="false">SUM(C40:C50)</f>
        <v>0</v>
      </c>
      <c r="D51" s="27" t="n">
        <f aca="false">SUM(D40:D50)</f>
        <v>0</v>
      </c>
      <c r="E51" s="27" t="n">
        <f aca="false">SUM(E40:E50)</f>
        <v>0</v>
      </c>
      <c r="F51" s="27" t="n">
        <f aca="false">SUM(F40:F50)</f>
        <v>0</v>
      </c>
      <c r="G51" s="27" t="n">
        <f aca="false">SUM(G40:G50)</f>
        <v>0</v>
      </c>
      <c r="H51" s="21" t="n">
        <f aca="false">SUM(C51:G51)</f>
        <v>0</v>
      </c>
    </row>
    <row r="52" customFormat="false" ht="13.5" hidden="false" customHeight="true" outlineLevel="0" collapsed="false">
      <c r="B52" s="31" t="s">
        <v>84</v>
      </c>
      <c r="C52" s="31"/>
      <c r="D52" s="31"/>
      <c r="E52" s="31"/>
      <c r="F52" s="31"/>
      <c r="G52" s="31"/>
      <c r="H52" s="31"/>
    </row>
    <row r="53" customFormat="false" ht="15" hidden="false" customHeight="false" outlineLevel="0" collapsed="false">
      <c r="B53" s="28" t="s">
        <v>85</v>
      </c>
      <c r="C53" s="29" t="n">
        <f aca="false">MAX(0,-C117)</f>
        <v>-0</v>
      </c>
      <c r="D53" s="29" t="n">
        <f aca="false">MAX(0,-D117)</f>
        <v>-0</v>
      </c>
      <c r="E53" s="29" t="n">
        <f aca="false">MAX(0,-E117)</f>
        <v>-0</v>
      </c>
      <c r="F53" s="29" t="n">
        <f aca="false">MAX(0,-F117)</f>
        <v>-0</v>
      </c>
      <c r="G53" s="29" t="n">
        <f aca="false">MAX(0,-G117)</f>
        <v>-0</v>
      </c>
      <c r="H53" s="23" t="n">
        <f aca="false">SUM(C53:G53)</f>
        <v>0</v>
      </c>
    </row>
    <row r="54" customFormat="false" ht="15" hidden="false" customHeight="false" outlineLevel="0" collapsed="false">
      <c r="B54" s="32" t="s">
        <v>86</v>
      </c>
      <c r="C54" s="27" t="n">
        <f aca="false">C37+C38+C51+C53</f>
        <v>0</v>
      </c>
      <c r="D54" s="27" t="n">
        <f aca="false">D37+D38+D51+D53</f>
        <v>0</v>
      </c>
      <c r="E54" s="27" t="n">
        <f aca="false">E37+E38+E51+E53</f>
        <v>0</v>
      </c>
      <c r="F54" s="27" t="n">
        <f aca="false">F37+F38+F51+F53</f>
        <v>0</v>
      </c>
      <c r="G54" s="27" t="n">
        <f aca="false">G37+G38+G51+G53</f>
        <v>0</v>
      </c>
      <c r="H54" s="21" t="n">
        <f aca="false">SUM(C54:G54)</f>
        <v>0</v>
      </c>
    </row>
    <row r="55" customFormat="false" ht="13.5" hidden="false" customHeight="true" outlineLevel="0" collapsed="false">
      <c r="B55" s="33" t="s">
        <v>87</v>
      </c>
      <c r="C55" s="33"/>
      <c r="D55" s="33"/>
      <c r="E55" s="33"/>
      <c r="F55" s="33"/>
      <c r="G55" s="33"/>
      <c r="H55" s="33"/>
    </row>
    <row r="56" customFormat="false" ht="15" hidden="false" customHeight="false" outlineLevel="0" collapsed="false">
      <c r="B56" s="34" t="s">
        <v>88</v>
      </c>
      <c r="C56" s="29" t="n">
        <f aca="false">C17+C35-C54</f>
        <v>0</v>
      </c>
      <c r="D56" s="29" t="n">
        <f aca="false">D17+D35-D54</f>
        <v>0</v>
      </c>
      <c r="E56" s="29" t="n">
        <f aca="false">E17+E35-E54</f>
        <v>0</v>
      </c>
      <c r="F56" s="29" t="n">
        <f aca="false">F17+F35-F54</f>
        <v>0</v>
      </c>
      <c r="G56" s="29" t="n">
        <f aca="false">G17+G35-G54</f>
        <v>0</v>
      </c>
      <c r="H56" s="23" t="n">
        <f aca="false">SUM(C56:G56)</f>
        <v>0</v>
      </c>
    </row>
    <row r="57" customFormat="false" ht="15" hidden="false" customHeight="false" outlineLevel="0" collapsed="false">
      <c r="B57" s="35" t="s">
        <v>89</v>
      </c>
      <c r="C57" s="29" t="n">
        <f aca="false">MAX(0,-C56)</f>
        <v>-0</v>
      </c>
      <c r="D57" s="29" t="n">
        <f aca="false">MAX(0,-D56)</f>
        <v>-0</v>
      </c>
      <c r="E57" s="29" t="n">
        <f aca="false">MAX(0,-E56)</f>
        <v>-0</v>
      </c>
      <c r="F57" s="29" t="n">
        <f aca="false">MAX(0,-F56)</f>
        <v>-0</v>
      </c>
      <c r="G57" s="29" t="n">
        <f aca="false">MAX(0,-G56)</f>
        <v>-0</v>
      </c>
      <c r="H57" s="23" t="n">
        <f aca="false">SUM(C57:G57)</f>
        <v>0</v>
      </c>
    </row>
    <row r="58" customFormat="false" ht="15" hidden="false" customHeight="false" outlineLevel="0" collapsed="false">
      <c r="B58" s="28" t="s">
        <v>148</v>
      </c>
      <c r="C58" s="39" t="n">
        <f aca="false">MIN('2022'!C57,MAX(0,C56))</f>
        <v>0</v>
      </c>
      <c r="D58" s="39" t="n">
        <f aca="false">MIN('2022'!D57,MAX(0,D56))</f>
        <v>0</v>
      </c>
      <c r="E58" s="39" t="n">
        <f aca="false">MIN('2022'!E57,MAX(0,E56))</f>
        <v>0</v>
      </c>
      <c r="F58" s="39" t="n">
        <f aca="false">MIN('2022'!F57,MAX(0,F56))</f>
        <v>0</v>
      </c>
      <c r="G58" s="39" t="n">
        <f aca="false">MIN('2022'!G57,MAX(0,G56))</f>
        <v>0</v>
      </c>
      <c r="H58" s="23" t="n">
        <f aca="false">SUM(C58:G58)</f>
        <v>0</v>
      </c>
    </row>
    <row r="59" customFormat="false" ht="18" hidden="false" customHeight="true" outlineLevel="0" collapsed="false">
      <c r="B59" s="36" t="s">
        <v>149</v>
      </c>
      <c r="C59" s="27" t="n">
        <f aca="false">MAX(0,C56)-C58</f>
        <v>0</v>
      </c>
      <c r="D59" s="27" t="n">
        <f aca="false">MAX(0,D56)-D58</f>
        <v>0</v>
      </c>
      <c r="E59" s="27" t="n">
        <f aca="false">MAX(0,E56)-E58</f>
        <v>0</v>
      </c>
      <c r="F59" s="27" t="n">
        <f aca="false">MAX(0,F56)-F58</f>
        <v>0</v>
      </c>
      <c r="G59" s="27" t="n">
        <f aca="false">MAX(0,G56)-G58</f>
        <v>0</v>
      </c>
      <c r="H59" s="21" t="n">
        <f aca="false">SUM(C59:G59)</f>
        <v>0</v>
      </c>
    </row>
    <row r="60" customFormat="false" ht="3.75" hidden="false" customHeight="true" outlineLevel="0" collapsed="false"/>
    <row r="61" customFormat="false" ht="15" hidden="false" customHeight="false" outlineLevel="0" collapsed="false">
      <c r="B61" s="37" t="s">
        <v>150</v>
      </c>
      <c r="C61" s="37"/>
      <c r="D61" s="37"/>
      <c r="E61" s="37"/>
      <c r="F61" s="37"/>
      <c r="G61" s="37"/>
      <c r="H61" s="37"/>
    </row>
    <row r="62" customFormat="false" ht="19.5" hidden="false" customHeight="true" outlineLevel="0" collapsed="false">
      <c r="B62" s="38" t="s">
        <v>93</v>
      </c>
      <c r="C62" s="38"/>
      <c r="D62" s="38"/>
      <c r="E62" s="38"/>
      <c r="F62" s="38"/>
      <c r="G62" s="38"/>
      <c r="H62" s="38"/>
    </row>
    <row r="63" customFormat="false" ht="33.75" hidden="false" customHeight="true" outlineLevel="0" collapsed="false">
      <c r="B63" s="12" t="s">
        <v>94</v>
      </c>
      <c r="C63" s="13" t="s">
        <v>25</v>
      </c>
      <c r="D63" s="13" t="s">
        <v>27</v>
      </c>
      <c r="E63" s="13" t="s">
        <v>29</v>
      </c>
      <c r="F63" s="13" t="s">
        <v>30</v>
      </c>
      <c r="G63" s="13" t="s">
        <v>32</v>
      </c>
      <c r="H63" s="12" t="s">
        <v>48</v>
      </c>
    </row>
    <row r="64" customFormat="false" ht="3.75" hidden="false" customHeight="true" outlineLevel="0" collapsed="false"/>
    <row r="65" customFormat="false" ht="15" hidden="false" customHeight="false" outlineLevel="0" collapsed="false">
      <c r="B65" s="19" t="s">
        <v>95</v>
      </c>
      <c r="C65" s="20" t="n">
        <f aca="false">'2022'!C86</f>
        <v>0</v>
      </c>
      <c r="D65" s="20" t="n">
        <f aca="false">'2022'!D86</f>
        <v>0</v>
      </c>
      <c r="E65" s="20" t="n">
        <f aca="false">'2022'!E86</f>
        <v>0</v>
      </c>
      <c r="F65" s="20" t="n">
        <f aca="false">'2022'!F86</f>
        <v>0</v>
      </c>
      <c r="G65" s="20" t="n">
        <f aca="false">'2022'!G86</f>
        <v>0</v>
      </c>
      <c r="H65" s="21" t="n">
        <f aca="false">SUM(C65:G65)</f>
        <v>0</v>
      </c>
    </row>
    <row r="66" customFormat="false" ht="13.5" hidden="false" customHeight="true" outlineLevel="0" collapsed="false">
      <c r="B66" s="17" t="s">
        <v>96</v>
      </c>
      <c r="C66" s="17"/>
      <c r="D66" s="17"/>
      <c r="E66" s="17"/>
      <c r="F66" s="17"/>
      <c r="G66" s="17"/>
      <c r="H66" s="17"/>
    </row>
    <row r="67" customFormat="false" ht="15" hidden="false" customHeight="false" outlineLevel="0" collapsed="false">
      <c r="B67" s="35" t="s">
        <v>97</v>
      </c>
      <c r="C67" s="29" t="n">
        <f aca="false">C19</f>
        <v>0</v>
      </c>
      <c r="D67" s="29" t="n">
        <f aca="false">D19</f>
        <v>0</v>
      </c>
      <c r="E67" s="29" t="n">
        <f aca="false">E19</f>
        <v>0</v>
      </c>
      <c r="F67" s="29" t="n">
        <f aca="false">F19</f>
        <v>0</v>
      </c>
      <c r="G67" s="29" t="n">
        <f aca="false">G19</f>
        <v>0</v>
      </c>
      <c r="H67" s="23" t="n">
        <f aca="false">SUM(C67:G67)</f>
        <v>0</v>
      </c>
    </row>
    <row r="68" customFormat="false" ht="15" hidden="false" customHeight="false" outlineLevel="0" collapsed="false">
      <c r="B68" s="35" t="s">
        <v>98</v>
      </c>
      <c r="C68" s="29" t="n">
        <f aca="false">C20</f>
        <v>0</v>
      </c>
      <c r="D68" s="29" t="n">
        <f aca="false">D20</f>
        <v>0</v>
      </c>
      <c r="E68" s="29" t="n">
        <f aca="false">E20</f>
        <v>0</v>
      </c>
      <c r="F68" s="29" t="n">
        <f aca="false">F20</f>
        <v>0</v>
      </c>
      <c r="G68" s="29" t="n">
        <f aca="false">G20</f>
        <v>0</v>
      </c>
      <c r="H68" s="23" t="n">
        <f aca="false">SUM(C68:G68)</f>
        <v>0</v>
      </c>
    </row>
    <row r="69" customFormat="false" ht="15" hidden="false" customHeight="false" outlineLevel="0" collapsed="false">
      <c r="B69" s="35" t="s">
        <v>99</v>
      </c>
      <c r="C69" s="29" t="n">
        <f aca="false">C96</f>
        <v>0</v>
      </c>
      <c r="D69" s="29" t="n">
        <f aca="false">D96</f>
        <v>0</v>
      </c>
      <c r="E69" s="29" t="n">
        <f aca="false">E96</f>
        <v>0</v>
      </c>
      <c r="F69" s="29" t="n">
        <f aca="false">F96</f>
        <v>0</v>
      </c>
      <c r="G69" s="29" t="n">
        <f aca="false">G96</f>
        <v>0</v>
      </c>
      <c r="H69" s="23" t="n">
        <f aca="false">SUM(C69:G69)</f>
        <v>0</v>
      </c>
    </row>
    <row r="70" customFormat="false" ht="15" hidden="false" customHeight="false" outlineLevel="0" collapsed="false">
      <c r="B70" s="35" t="s">
        <v>100</v>
      </c>
      <c r="C70" s="39" t="n">
        <f aca="false">MAX(0,C112-'2022'!C112)</f>
        <v>0</v>
      </c>
      <c r="D70" s="39" t="n">
        <f aca="false">MAX(0,D112-'2022'!D112)</f>
        <v>0</v>
      </c>
      <c r="E70" s="39" t="n">
        <f aca="false">MAX(0,E112-'2022'!E112)</f>
        <v>0</v>
      </c>
      <c r="F70" s="39" t="n">
        <f aca="false">MAX(0,F112-'2022'!F112)</f>
        <v>0</v>
      </c>
      <c r="G70" s="39" t="n">
        <f aca="false">MAX(0,G112-'2022'!G112)</f>
        <v>0</v>
      </c>
      <c r="H70" s="23" t="n">
        <f aca="false">SUM(C70:G70)</f>
        <v>0</v>
      </c>
    </row>
    <row r="71" customFormat="false" ht="15" hidden="false" customHeight="false" outlineLevel="0" collapsed="false">
      <c r="B71" s="35" t="s">
        <v>101</v>
      </c>
      <c r="C71" s="29" t="n">
        <f aca="false">C32</f>
        <v>0</v>
      </c>
      <c r="D71" s="29" t="n">
        <f aca="false">D32</f>
        <v>0</v>
      </c>
      <c r="E71" s="29" t="n">
        <f aca="false">E32</f>
        <v>0</v>
      </c>
      <c r="F71" s="29" t="n">
        <f aca="false">F32</f>
        <v>0</v>
      </c>
      <c r="G71" s="29" t="n">
        <f aca="false">G32</f>
        <v>0</v>
      </c>
      <c r="H71" s="23" t="n">
        <f aca="false">SUM(C71:G71)</f>
        <v>0</v>
      </c>
    </row>
    <row r="72" customFormat="false" ht="15" hidden="false" customHeight="false" outlineLevel="0" collapsed="false">
      <c r="B72" s="8" t="s">
        <v>102</v>
      </c>
      <c r="C72" s="22" t="n">
        <v>0</v>
      </c>
      <c r="D72" s="22" t="n">
        <v>0</v>
      </c>
      <c r="E72" s="22" t="n">
        <v>0</v>
      </c>
      <c r="F72" s="22" t="n">
        <v>0</v>
      </c>
      <c r="G72" s="22" t="n">
        <v>0</v>
      </c>
      <c r="H72" s="23" t="n">
        <f aca="false">SUM(C72:G72)</f>
        <v>0</v>
      </c>
    </row>
    <row r="73" customFormat="false" ht="15" hidden="false" customHeight="false" outlineLevel="0" collapsed="false">
      <c r="B73" s="26" t="s">
        <v>103</v>
      </c>
      <c r="C73" s="27" t="n">
        <f aca="false">C67+C68+C69+C70+C71+C72</f>
        <v>0</v>
      </c>
      <c r="D73" s="27" t="n">
        <f aca="false">D67+D68+D69+D70+D71+D72</f>
        <v>0</v>
      </c>
      <c r="E73" s="27" t="n">
        <f aca="false">E67+E68+E69+E70+E71+E72</f>
        <v>0</v>
      </c>
      <c r="F73" s="27" t="n">
        <f aca="false">F67+F68+F69+F70+F71+F72</f>
        <v>0</v>
      </c>
      <c r="G73" s="27" t="n">
        <f aca="false">G67+G68+G69+G70+G71+G72</f>
        <v>0</v>
      </c>
      <c r="H73" s="21" t="n">
        <f aca="false">SUM(C73:G73)</f>
        <v>0</v>
      </c>
    </row>
    <row r="74" customFormat="false" ht="13.5" hidden="false" customHeight="true" outlineLevel="0" collapsed="false">
      <c r="B74" s="30" t="s">
        <v>104</v>
      </c>
      <c r="C74" s="30"/>
      <c r="D74" s="30"/>
      <c r="E74" s="30"/>
      <c r="F74" s="30"/>
      <c r="G74" s="30"/>
      <c r="H74" s="30"/>
    </row>
    <row r="75" customFormat="false" ht="15" hidden="false" customHeight="false" outlineLevel="0" collapsed="false">
      <c r="B75" s="35" t="s">
        <v>105</v>
      </c>
      <c r="C75" s="29" t="n">
        <f aca="false">C37</f>
        <v>0</v>
      </c>
      <c r="D75" s="29" t="n">
        <f aca="false">D37</f>
        <v>0</v>
      </c>
      <c r="E75" s="29" t="n">
        <f aca="false">E37</f>
        <v>0</v>
      </c>
      <c r="F75" s="29" t="n">
        <f aca="false">F37</f>
        <v>0</v>
      </c>
      <c r="G75" s="29" t="n">
        <f aca="false">G37</f>
        <v>0</v>
      </c>
      <c r="H75" s="23" t="n">
        <f aca="false">SUM(C75:G75)</f>
        <v>0</v>
      </c>
    </row>
    <row r="76" customFormat="false" ht="15" hidden="false" customHeight="false" outlineLevel="0" collapsed="false">
      <c r="B76" s="35" t="s">
        <v>106</v>
      </c>
      <c r="C76" s="29" t="n">
        <f aca="false">C38</f>
        <v>0</v>
      </c>
      <c r="D76" s="29" t="n">
        <f aca="false">D38</f>
        <v>0</v>
      </c>
      <c r="E76" s="29" t="n">
        <f aca="false">E38</f>
        <v>0</v>
      </c>
      <c r="F76" s="29" t="n">
        <f aca="false">F38</f>
        <v>0</v>
      </c>
      <c r="G76" s="29" t="n">
        <f aca="false">G38</f>
        <v>0</v>
      </c>
      <c r="H76" s="23" t="n">
        <f aca="false">SUM(C76:G76)</f>
        <v>0</v>
      </c>
    </row>
    <row r="77" customFormat="false" ht="15" hidden="false" customHeight="false" outlineLevel="0" collapsed="false">
      <c r="B77" s="35" t="s">
        <v>107</v>
      </c>
      <c r="C77" s="29" t="n">
        <f aca="false">C97</f>
        <v>0</v>
      </c>
      <c r="D77" s="29" t="n">
        <f aca="false">D97</f>
        <v>0</v>
      </c>
      <c r="E77" s="29" t="n">
        <f aca="false">E97</f>
        <v>0</v>
      </c>
      <c r="F77" s="29" t="n">
        <f aca="false">F97</f>
        <v>0</v>
      </c>
      <c r="G77" s="29" t="n">
        <f aca="false">G97</f>
        <v>0</v>
      </c>
      <c r="H77" s="23" t="n">
        <f aca="false">SUM(C77:G77)</f>
        <v>0</v>
      </c>
    </row>
    <row r="78" customFormat="false" ht="15" hidden="false" customHeight="false" outlineLevel="0" collapsed="false">
      <c r="B78" s="35" t="s">
        <v>108</v>
      </c>
      <c r="C78" s="39" t="n">
        <f aca="false">MAX(0,'2022'!C112-C112)</f>
        <v>0</v>
      </c>
      <c r="D78" s="39" t="n">
        <f aca="false">MAX(0,'2022'!D112-D112)</f>
        <v>0</v>
      </c>
      <c r="E78" s="39" t="n">
        <f aca="false">MAX(0,'2022'!E112-E112)</f>
        <v>0</v>
      </c>
      <c r="F78" s="39" t="n">
        <f aca="false">MAX(0,'2022'!F112-F112)</f>
        <v>0</v>
      </c>
      <c r="G78" s="39" t="n">
        <f aca="false">MAX(0,'2022'!G112-G112)</f>
        <v>0</v>
      </c>
      <c r="H78" s="23" t="n">
        <f aca="false">SUM(C78:G78)</f>
        <v>0</v>
      </c>
    </row>
    <row r="79" customFormat="false" ht="15" hidden="false" customHeight="false" outlineLevel="0" collapsed="false">
      <c r="B79" s="35" t="s">
        <v>109</v>
      </c>
      <c r="C79" s="29" t="n">
        <f aca="false">C51</f>
        <v>0</v>
      </c>
      <c r="D79" s="29" t="n">
        <f aca="false">D51</f>
        <v>0</v>
      </c>
      <c r="E79" s="29" t="n">
        <f aca="false">E51</f>
        <v>0</v>
      </c>
      <c r="F79" s="29" t="n">
        <f aca="false">F51</f>
        <v>0</v>
      </c>
      <c r="G79" s="29" t="n">
        <f aca="false">G51</f>
        <v>0</v>
      </c>
      <c r="H79" s="23" t="n">
        <f aca="false">SUM(C79:G79)</f>
        <v>0</v>
      </c>
    </row>
    <row r="80" customFormat="false" ht="15" hidden="false" customHeight="false" outlineLevel="0" collapsed="false">
      <c r="B80" s="8" t="s">
        <v>110</v>
      </c>
      <c r="C80" s="22" t="n">
        <v>0</v>
      </c>
      <c r="D80" s="22" t="n">
        <v>0</v>
      </c>
      <c r="E80" s="22" t="n">
        <v>0</v>
      </c>
      <c r="F80" s="22" t="n">
        <v>0</v>
      </c>
      <c r="G80" s="22" t="n">
        <v>0</v>
      </c>
      <c r="H80" s="23" t="n">
        <f aca="false">SUM(C80:G80)</f>
        <v>0</v>
      </c>
    </row>
    <row r="81" customFormat="false" ht="15" hidden="false" customHeight="false" outlineLevel="0" collapsed="false">
      <c r="B81" s="32" t="s">
        <v>111</v>
      </c>
      <c r="C81" s="27" t="n">
        <f aca="false">C75+C76+C77+C78+C79+C80</f>
        <v>0</v>
      </c>
      <c r="D81" s="27" t="n">
        <f aca="false">D75+D76+D77+D78+D79+D80</f>
        <v>0</v>
      </c>
      <c r="E81" s="27" t="n">
        <f aca="false">E75+E76+E77+E78+E79+E80</f>
        <v>0</v>
      </c>
      <c r="F81" s="27" t="n">
        <f aca="false">F75+F76+F77+F78+F79+F80</f>
        <v>0</v>
      </c>
      <c r="G81" s="27" t="n">
        <f aca="false">G75+G76+G77+G78+G79+G80</f>
        <v>0</v>
      </c>
      <c r="H81" s="21" t="n">
        <f aca="false">SUM(C81:G81)</f>
        <v>0</v>
      </c>
    </row>
    <row r="82" customFormat="false" ht="15" hidden="false" customHeight="false" outlineLevel="0" collapsed="false">
      <c r="B82" s="34" t="s">
        <v>112</v>
      </c>
      <c r="C82" s="29" t="n">
        <f aca="false">C65+C73-C81</f>
        <v>0</v>
      </c>
      <c r="D82" s="29" t="n">
        <f aca="false">D65+D73-D81</f>
        <v>0</v>
      </c>
      <c r="E82" s="29" t="n">
        <f aca="false">E65+E73-E81</f>
        <v>0</v>
      </c>
      <c r="F82" s="29" t="n">
        <f aca="false">F65+F73-F81</f>
        <v>0</v>
      </c>
      <c r="G82" s="29" t="n">
        <f aca="false">G65+G73-G81</f>
        <v>0</v>
      </c>
      <c r="H82" s="23" t="n">
        <f aca="false">SUM(C82:G82)</f>
        <v>0</v>
      </c>
    </row>
    <row r="83" customFormat="false" ht="13.5" hidden="false" customHeight="true" outlineLevel="0" collapsed="false">
      <c r="B83" s="33" t="s">
        <v>113</v>
      </c>
      <c r="C83" s="33"/>
      <c r="D83" s="33"/>
      <c r="E83" s="33"/>
      <c r="F83" s="33"/>
      <c r="G83" s="33"/>
      <c r="H83" s="33"/>
    </row>
    <row r="84" customFormat="false" ht="15" hidden="false" customHeight="false" outlineLevel="0" collapsed="false">
      <c r="B84" s="35" t="s">
        <v>114</v>
      </c>
      <c r="C84" s="29" t="n">
        <f aca="false">MAX(0,-C82)</f>
        <v>-0</v>
      </c>
      <c r="D84" s="29" t="n">
        <f aca="false">MAX(0,-D82)</f>
        <v>-0</v>
      </c>
      <c r="E84" s="29" t="n">
        <f aca="false">MAX(0,-E82)</f>
        <v>-0</v>
      </c>
      <c r="F84" s="29" t="n">
        <f aca="false">MAX(0,-F82)</f>
        <v>-0</v>
      </c>
      <c r="G84" s="29" t="n">
        <f aca="false">MAX(0,-G82)</f>
        <v>-0</v>
      </c>
      <c r="H84" s="23" t="n">
        <f aca="false">SUM(C84:G84)</f>
        <v>0</v>
      </c>
    </row>
    <row r="85" customFormat="false" ht="15" hidden="false" customHeight="false" outlineLevel="0" collapsed="false">
      <c r="B85" s="28" t="s">
        <v>151</v>
      </c>
      <c r="C85" s="39" t="n">
        <f aca="false">MIN('2022'!C84,MAX(0,C82))</f>
        <v>0</v>
      </c>
      <c r="D85" s="39" t="n">
        <f aca="false">MIN('2022'!D84,MAX(0,D82))</f>
        <v>0</v>
      </c>
      <c r="E85" s="39" t="n">
        <f aca="false">MIN('2022'!E84,MAX(0,E82))</f>
        <v>0</v>
      </c>
      <c r="F85" s="39" t="n">
        <f aca="false">MIN('2022'!F84,MAX(0,F82))</f>
        <v>0</v>
      </c>
      <c r="G85" s="39" t="n">
        <f aca="false">MIN('2022'!G84,MAX(0,G82))</f>
        <v>0</v>
      </c>
      <c r="H85" s="23" t="n">
        <f aca="false">SUM(C85:G85)</f>
        <v>0</v>
      </c>
    </row>
    <row r="86" customFormat="false" ht="18" hidden="false" customHeight="true" outlineLevel="0" collapsed="false">
      <c r="B86" s="36" t="s">
        <v>152</v>
      </c>
      <c r="C86" s="27" t="n">
        <f aca="false">MAX(0,C82)-C85</f>
        <v>0</v>
      </c>
      <c r="D86" s="27" t="n">
        <f aca="false">MAX(0,D82)-D85</f>
        <v>0</v>
      </c>
      <c r="E86" s="27" t="n">
        <f aca="false">MAX(0,E82)-E85</f>
        <v>0</v>
      </c>
      <c r="F86" s="27" t="n">
        <f aca="false">MAX(0,F82)-F85</f>
        <v>0</v>
      </c>
      <c r="G86" s="27" t="n">
        <f aca="false">MAX(0,G82)-G85</f>
        <v>0</v>
      </c>
      <c r="H86" s="21" t="n">
        <f aca="false">SUM(C86:G86)</f>
        <v>0</v>
      </c>
    </row>
    <row r="87" customFormat="false" ht="15" hidden="false" customHeight="false" outlineLevel="0" collapsed="false">
      <c r="B87" s="40" t="s">
        <v>117</v>
      </c>
      <c r="C87" s="27" t="n">
        <f aca="false">MIN(C59,C86)</f>
        <v>0</v>
      </c>
      <c r="D87" s="27" t="n">
        <f aca="false">MIN(D59,D86)</f>
        <v>0</v>
      </c>
      <c r="E87" s="27" t="n">
        <f aca="false">MIN(E59,E86)</f>
        <v>0</v>
      </c>
      <c r="F87" s="27" t="n">
        <f aca="false">MIN(F59,F86)</f>
        <v>0</v>
      </c>
      <c r="G87" s="27" t="n">
        <f aca="false">MIN(G59,G86)</f>
        <v>0</v>
      </c>
      <c r="H87" s="21" t="n">
        <f aca="false">SUM(C87:G87)</f>
        <v>0</v>
      </c>
    </row>
    <row r="88" customFormat="false" ht="3.75" hidden="false" customHeight="true" outlineLevel="0" collapsed="false"/>
    <row r="89" customFormat="false" ht="15" hidden="false" customHeight="false" outlineLevel="0" collapsed="false">
      <c r="B89" s="3" t="s">
        <v>153</v>
      </c>
      <c r="C89" s="3"/>
      <c r="D89" s="3"/>
      <c r="E89" s="3"/>
      <c r="F89" s="3"/>
      <c r="G89" s="3"/>
      <c r="H89" s="3"/>
    </row>
    <row r="90" customFormat="false" ht="19.5" hidden="false" customHeight="true" outlineLevel="0" collapsed="false">
      <c r="B90" s="2" t="s">
        <v>119</v>
      </c>
      <c r="C90" s="2"/>
      <c r="D90" s="2"/>
      <c r="E90" s="2"/>
      <c r="F90" s="2"/>
      <c r="G90" s="2"/>
      <c r="H90" s="2"/>
    </row>
    <row r="91" customFormat="false" ht="30" hidden="false" customHeight="true" outlineLevel="0" collapsed="false">
      <c r="B91" s="12" t="s">
        <v>120</v>
      </c>
      <c r="C91" s="13" t="s">
        <v>25</v>
      </c>
      <c r="D91" s="13" t="s">
        <v>27</v>
      </c>
      <c r="E91" s="13" t="s">
        <v>29</v>
      </c>
      <c r="F91" s="13" t="s">
        <v>30</v>
      </c>
      <c r="G91" s="13" t="s">
        <v>32</v>
      </c>
      <c r="H91" s="13" t="s">
        <v>121</v>
      </c>
    </row>
    <row r="92" customFormat="false" ht="3.75" hidden="false" customHeight="true" outlineLevel="0" collapsed="false"/>
    <row r="93" customFormat="false" ht="13.5" hidden="false" customHeight="true" outlineLevel="0" collapsed="false">
      <c r="B93" s="3" t="s">
        <v>122</v>
      </c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B94" s="4" t="s">
        <v>123</v>
      </c>
      <c r="C94" s="41" t="n">
        <v>0</v>
      </c>
      <c r="D94" s="42" t="s">
        <v>124</v>
      </c>
      <c r="E94" s="42"/>
      <c r="F94" s="42"/>
      <c r="G94" s="42"/>
    </row>
    <row r="95" customFormat="false" ht="15" hidden="false" customHeight="false" outlineLevel="0" collapsed="false">
      <c r="B95" s="35" t="s">
        <v>125</v>
      </c>
      <c r="C95" s="43" t="n">
        <f aca="false">'2022'!C98</f>
        <v>0</v>
      </c>
      <c r="D95" s="43" t="n">
        <f aca="false">'2022'!D98</f>
        <v>0</v>
      </c>
      <c r="E95" s="43" t="n">
        <f aca="false">'2022'!E98</f>
        <v>0</v>
      </c>
      <c r="F95" s="43" t="n">
        <f aca="false">'2022'!F98</f>
        <v>0</v>
      </c>
      <c r="G95" s="43" t="n">
        <f aca="false">'2022'!G98</f>
        <v>0</v>
      </c>
      <c r="H95" s="44" t="n">
        <f aca="false">SUM(C95:G95)</f>
        <v>0</v>
      </c>
    </row>
    <row r="96" customFormat="false" ht="15" hidden="false" customHeight="false" outlineLevel="0" collapsed="false">
      <c r="B96" s="35" t="s">
        <v>126</v>
      </c>
      <c r="C96" s="41" t="n">
        <v>0</v>
      </c>
      <c r="D96" s="41" t="n">
        <v>0</v>
      </c>
      <c r="E96" s="41" t="n">
        <v>0</v>
      </c>
      <c r="F96" s="41" t="n">
        <v>0</v>
      </c>
      <c r="G96" s="41" t="n">
        <v>0</v>
      </c>
      <c r="H96" s="44" t="n">
        <f aca="false">SUM(C96:G96)</f>
        <v>0</v>
      </c>
    </row>
    <row r="97" customFormat="false" ht="15" hidden="false" customHeight="false" outlineLevel="0" collapsed="false">
      <c r="B97" s="35" t="s">
        <v>127</v>
      </c>
      <c r="C97" s="41" t="n">
        <v>0</v>
      </c>
      <c r="D97" s="41" t="n">
        <v>0</v>
      </c>
      <c r="E97" s="41" t="n">
        <v>0</v>
      </c>
      <c r="F97" s="41" t="n">
        <v>0</v>
      </c>
      <c r="G97" s="41" t="n">
        <v>0</v>
      </c>
      <c r="H97" s="44" t="n">
        <f aca="false">SUM(C97:G97)</f>
        <v>0</v>
      </c>
    </row>
    <row r="98" customFormat="false" ht="15" hidden="false" customHeight="false" outlineLevel="0" collapsed="false">
      <c r="B98" s="4" t="s">
        <v>128</v>
      </c>
      <c r="C98" s="21" t="n">
        <f aca="false">C95+C96-C97</f>
        <v>0</v>
      </c>
      <c r="D98" s="21" t="n">
        <f aca="false">D95+D96-D97</f>
        <v>0</v>
      </c>
      <c r="E98" s="21" t="n">
        <f aca="false">E95+E96-E97</f>
        <v>0</v>
      </c>
      <c r="F98" s="21" t="n">
        <f aca="false">F95+F96-F97</f>
        <v>0</v>
      </c>
      <c r="G98" s="21" t="n">
        <f aca="false">G95+G96-G97</f>
        <v>0</v>
      </c>
      <c r="H98" s="45" t="str">
        <f aca="false">IF(ABS(C94-SUM(C98:G98))&lt;1,TEXT(SUM(C98:G98),"$#,##0")&amp;" ✓",TEXT(SUM(C98:G98),"$#,##0")&amp;" ⚠ gap")</f>
        <v>$0 ✓</v>
      </c>
    </row>
    <row r="99" customFormat="false" ht="3.75" hidden="false" customHeight="true" outlineLevel="0" collapsed="false"/>
    <row r="100" customFormat="false" ht="13.5" hidden="false" customHeight="true" outlineLevel="0" collapsed="false">
      <c r="B100" s="37" t="s">
        <v>129</v>
      </c>
      <c r="C100" s="37"/>
      <c r="D100" s="37"/>
      <c r="E100" s="37"/>
      <c r="F100" s="37"/>
      <c r="G100" s="37"/>
      <c r="H100" s="37"/>
    </row>
    <row r="101" customFormat="false" ht="15" hidden="false" customHeight="false" outlineLevel="0" collapsed="false">
      <c r="B101" s="4" t="s">
        <v>123</v>
      </c>
      <c r="C101" s="41" t="n">
        <v>0</v>
      </c>
      <c r="D101" s="42" t="s">
        <v>124</v>
      </c>
      <c r="E101" s="42"/>
      <c r="F101" s="42"/>
      <c r="G101" s="42"/>
    </row>
    <row r="102" customFormat="false" ht="15" hidden="false" customHeight="false" outlineLevel="0" collapsed="false">
      <c r="B102" s="35" t="s">
        <v>125</v>
      </c>
      <c r="C102" s="43" t="n">
        <f aca="false">'2022'!C105</f>
        <v>0</v>
      </c>
      <c r="D102" s="43" t="n">
        <f aca="false">'2022'!D105</f>
        <v>0</v>
      </c>
      <c r="E102" s="43" t="n">
        <f aca="false">'2022'!E105</f>
        <v>0</v>
      </c>
      <c r="F102" s="43" t="n">
        <f aca="false">'2022'!F105</f>
        <v>0</v>
      </c>
      <c r="G102" s="43" t="n">
        <f aca="false">'2022'!G105</f>
        <v>0</v>
      </c>
      <c r="H102" s="44" t="n">
        <f aca="false">SUM(C102:G102)</f>
        <v>0</v>
      </c>
    </row>
    <row r="103" customFormat="false" ht="15" hidden="false" customHeight="false" outlineLevel="0" collapsed="false">
      <c r="B103" s="35" t="s">
        <v>126</v>
      </c>
      <c r="C103" s="41" t="n">
        <v>0</v>
      </c>
      <c r="D103" s="41" t="n">
        <v>0</v>
      </c>
      <c r="E103" s="41" t="n">
        <v>0</v>
      </c>
      <c r="F103" s="41" t="n">
        <v>0</v>
      </c>
      <c r="G103" s="41" t="n">
        <v>0</v>
      </c>
      <c r="H103" s="44" t="n">
        <f aca="false">SUM(C103:G103)</f>
        <v>0</v>
      </c>
    </row>
    <row r="104" customFormat="false" ht="15" hidden="false" customHeight="false" outlineLevel="0" collapsed="false">
      <c r="B104" s="35" t="s">
        <v>127</v>
      </c>
      <c r="C104" s="41" t="n">
        <v>0</v>
      </c>
      <c r="D104" s="41" t="n">
        <v>0</v>
      </c>
      <c r="E104" s="41" t="n">
        <v>0</v>
      </c>
      <c r="F104" s="41" t="n">
        <v>0</v>
      </c>
      <c r="G104" s="41" t="n">
        <v>0</v>
      </c>
      <c r="H104" s="44" t="n">
        <f aca="false">SUM(C104:G104)</f>
        <v>0</v>
      </c>
    </row>
    <row r="105" customFormat="false" ht="15" hidden="false" customHeight="false" outlineLevel="0" collapsed="false">
      <c r="B105" s="4" t="s">
        <v>128</v>
      </c>
      <c r="C105" s="21" t="n">
        <f aca="false">C102+C103-C104</f>
        <v>0</v>
      </c>
      <c r="D105" s="21" t="n">
        <f aca="false">D102+D103-D104</f>
        <v>0</v>
      </c>
      <c r="E105" s="21" t="n">
        <f aca="false">E102+E103-E104</f>
        <v>0</v>
      </c>
      <c r="F105" s="21" t="n">
        <f aca="false">F102+F103-F104</f>
        <v>0</v>
      </c>
      <c r="G105" s="21" t="n">
        <f aca="false">G102+G103-G104</f>
        <v>0</v>
      </c>
      <c r="H105" s="45" t="str">
        <f aca="false">IF(ABS(C101-SUM(C105:G105))&lt;1,TEXT(SUM(C105:G105),"$#,##0")&amp;" ✓",TEXT(SUM(C105:G105),"$#,##0")&amp;" ⚠ gap")</f>
        <v>$0 ✓</v>
      </c>
    </row>
    <row r="106" customFormat="false" ht="3.75" hidden="false" customHeight="true" outlineLevel="0" collapsed="false"/>
    <row r="107" customFormat="false" ht="13.5" hidden="false" customHeight="true" outlineLevel="0" collapsed="false">
      <c r="B107" s="17" t="s">
        <v>130</v>
      </c>
      <c r="C107" s="17"/>
      <c r="D107" s="17"/>
      <c r="E107" s="17"/>
      <c r="F107" s="17"/>
      <c r="G107" s="17"/>
      <c r="H107" s="17"/>
    </row>
    <row r="108" customFormat="false" ht="15" hidden="false" customHeight="false" outlineLevel="0" collapsed="false">
      <c r="B108" s="4" t="s">
        <v>123</v>
      </c>
      <c r="C108" s="41" t="n">
        <v>0</v>
      </c>
      <c r="D108" s="42" t="s">
        <v>124</v>
      </c>
      <c r="E108" s="42"/>
      <c r="F108" s="42"/>
      <c r="G108" s="42"/>
    </row>
    <row r="109" customFormat="false" ht="15" hidden="false" customHeight="false" outlineLevel="0" collapsed="false">
      <c r="B109" s="35" t="s">
        <v>125</v>
      </c>
      <c r="C109" s="43" t="n">
        <f aca="false">'2022'!C112</f>
        <v>0</v>
      </c>
      <c r="D109" s="43" t="n">
        <f aca="false">'2022'!D112</f>
        <v>0</v>
      </c>
      <c r="E109" s="43" t="n">
        <f aca="false">'2022'!E112</f>
        <v>0</v>
      </c>
      <c r="F109" s="43" t="n">
        <f aca="false">'2022'!F112</f>
        <v>0</v>
      </c>
      <c r="G109" s="43" t="n">
        <f aca="false">'2022'!G112</f>
        <v>0</v>
      </c>
      <c r="H109" s="44" t="n">
        <f aca="false">SUM(C109:G109)</f>
        <v>0</v>
      </c>
    </row>
    <row r="110" customFormat="false" ht="15" hidden="false" customHeight="false" outlineLevel="0" collapsed="false">
      <c r="B110" s="35" t="s">
        <v>126</v>
      </c>
      <c r="C110" s="41" t="n">
        <v>0</v>
      </c>
      <c r="D110" s="41" t="n">
        <v>0</v>
      </c>
      <c r="E110" s="41" t="n">
        <v>0</v>
      </c>
      <c r="F110" s="41" t="n">
        <v>0</v>
      </c>
      <c r="G110" s="41" t="n">
        <v>0</v>
      </c>
      <c r="H110" s="44" t="n">
        <f aca="false">SUM(C110:G110)</f>
        <v>0</v>
      </c>
    </row>
    <row r="111" customFormat="false" ht="15" hidden="false" customHeight="false" outlineLevel="0" collapsed="false">
      <c r="B111" s="35" t="s">
        <v>127</v>
      </c>
      <c r="C111" s="41" t="n">
        <v>0</v>
      </c>
      <c r="D111" s="41" t="n">
        <v>0</v>
      </c>
      <c r="E111" s="41" t="n">
        <v>0</v>
      </c>
      <c r="F111" s="41" t="n">
        <v>0</v>
      </c>
      <c r="G111" s="41" t="n">
        <v>0</v>
      </c>
      <c r="H111" s="44" t="n">
        <f aca="false">SUM(C111:G111)</f>
        <v>0</v>
      </c>
    </row>
    <row r="112" customFormat="false" ht="15" hidden="false" customHeight="false" outlineLevel="0" collapsed="false">
      <c r="B112" s="4" t="s">
        <v>128</v>
      </c>
      <c r="C112" s="21" t="n">
        <f aca="false">C109+C110-C111</f>
        <v>0</v>
      </c>
      <c r="D112" s="21" t="n">
        <f aca="false">D109+D110-D111</f>
        <v>0</v>
      </c>
      <c r="E112" s="21" t="n">
        <f aca="false">E109+E110-E111</f>
        <v>0</v>
      </c>
      <c r="F112" s="21" t="n">
        <f aca="false">F109+F110-F111</f>
        <v>0</v>
      </c>
      <c r="G112" s="21" t="n">
        <f aca="false">G109+G110-G111</f>
        <v>0</v>
      </c>
      <c r="H112" s="45" t="str">
        <f aca="false">IF(ABS(C108-SUM(C112:G112))&lt;1,TEXT(SUM(C112:G112),"$#,##0")&amp;" ✓",TEXT(SUM(C112:G112),"$#,##0")&amp;" ⚠ gap")</f>
        <v>$0 ✓</v>
      </c>
    </row>
    <row r="113" customFormat="false" ht="3.75" hidden="false" customHeight="true" outlineLevel="0" collapsed="false"/>
    <row r="114" customFormat="false" ht="15" hidden="false" customHeight="false" outlineLevel="0" collapsed="false">
      <c r="B114" s="3" t="s">
        <v>154</v>
      </c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B115" s="35" t="s">
        <v>132</v>
      </c>
      <c r="C115" s="23" t="n">
        <f aca="false">C98+C105+C112</f>
        <v>0</v>
      </c>
      <c r="D115" s="23" t="n">
        <f aca="false">D98+D105+D112</f>
        <v>0</v>
      </c>
      <c r="E115" s="23" t="n">
        <f aca="false">E98+E105+E112</f>
        <v>0</v>
      </c>
      <c r="F115" s="23" t="n">
        <f aca="false">F98+F105+F112</f>
        <v>0</v>
      </c>
      <c r="G115" s="23" t="n">
        <f aca="false">G98+G105+G112</f>
        <v>0</v>
      </c>
      <c r="H115" s="44" t="n">
        <f aca="false">SUM(C115:G115)</f>
        <v>0</v>
      </c>
    </row>
    <row r="116" customFormat="false" ht="15" hidden="false" customHeight="false" outlineLevel="0" collapsed="false">
      <c r="B116" s="35" t="s">
        <v>133</v>
      </c>
      <c r="C116" s="46" t="n">
        <f aca="false">'2022'!C98+'2022'!C105+'2022'!C112</f>
        <v>0</v>
      </c>
      <c r="D116" s="46" t="n">
        <f aca="false">'2022'!D98+'2022'!D105+'2022'!D112</f>
        <v>0</v>
      </c>
      <c r="E116" s="46" t="n">
        <f aca="false">'2022'!E98+'2022'!E105+'2022'!E112</f>
        <v>0</v>
      </c>
      <c r="F116" s="46" t="n">
        <f aca="false">'2022'!F98+'2022'!F105+'2022'!F112</f>
        <v>0</v>
      </c>
      <c r="G116" s="46" t="n">
        <f aca="false">'2022'!G98+'2022'!G105+'2022'!G112</f>
        <v>0</v>
      </c>
      <c r="H116" s="44" t="n">
        <f aca="false">SUM(C116:G116)</f>
        <v>0</v>
      </c>
    </row>
    <row r="117" customFormat="false" ht="15.75" hidden="false" customHeight="true" outlineLevel="0" collapsed="false">
      <c r="B117" s="4" t="s">
        <v>134</v>
      </c>
      <c r="C117" s="21" t="n">
        <f aca="false">C115-C116</f>
        <v>0</v>
      </c>
      <c r="D117" s="21" t="n">
        <f aca="false">D115-D116</f>
        <v>0</v>
      </c>
      <c r="E117" s="21" t="n">
        <f aca="false">E115-E116</f>
        <v>0</v>
      </c>
      <c r="F117" s="21" t="n">
        <f aca="false">F115-F116</f>
        <v>0</v>
      </c>
      <c r="G117" s="21" t="n">
        <f aca="false">G115-G116</f>
        <v>0</v>
      </c>
      <c r="H117" s="44" t="n">
        <f aca="false">SUM(C117:G117)</f>
        <v>0</v>
      </c>
    </row>
  </sheetData>
  <sheetProtection sheet="true" password="c466"/>
  <mergeCells count="27">
    <mergeCell ref="A1:H1"/>
    <mergeCell ref="B2:H2"/>
    <mergeCell ref="B4:H4"/>
    <mergeCell ref="B5:H5"/>
    <mergeCell ref="B13:H13"/>
    <mergeCell ref="B14:H14"/>
    <mergeCell ref="B18:H18"/>
    <mergeCell ref="B21:H21"/>
    <mergeCell ref="B33:H33"/>
    <mergeCell ref="B36:H36"/>
    <mergeCell ref="B39:H39"/>
    <mergeCell ref="B52:H52"/>
    <mergeCell ref="B55:H55"/>
    <mergeCell ref="B61:H61"/>
    <mergeCell ref="B62:H62"/>
    <mergeCell ref="B66:H66"/>
    <mergeCell ref="B74:H74"/>
    <mergeCell ref="B83:H83"/>
    <mergeCell ref="B89:H89"/>
    <mergeCell ref="B90:H90"/>
    <mergeCell ref="B93:H93"/>
    <mergeCell ref="D94:G94"/>
    <mergeCell ref="B100:H100"/>
    <mergeCell ref="D101:G101"/>
    <mergeCell ref="B107:H107"/>
    <mergeCell ref="D108:G108"/>
    <mergeCell ref="B114:H114"/>
  </mergeCells>
  <dataValidations count="2">
    <dataValidation allowBlank="true" error="Enter 0-1 (e.g. 0.20 = 20%)" errorStyle="stop" operator="between" showDropDown="false" showErrorMessage="false" showInputMessage="false" sqref="C9:G11" type="decimal">
      <formula1>0</formula1>
      <formula2>1</formula2>
    </dataValidation>
    <dataValidation allowBlank="false" errorStyle="stop" operator="between" showDropDown="false" showErrorMessage="false" showInputMessage="false" sqref="C8:G8" type="list">
      <formula1>"Active,Closed-Out,New-Transferee"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7" min="3" style="0" width="16"/>
    <col collapsed="false" customWidth="true" hidden="false" outlineLevel="0" max="8" min="8" style="0" width="15"/>
  </cols>
  <sheetData>
    <row r="1" customFormat="false" ht="27.75" hidden="false" customHeight="true" outlineLevel="0" collapsed="false">
      <c r="A1" s="11" t="s">
        <v>155</v>
      </c>
      <c r="B1" s="11"/>
      <c r="C1" s="11"/>
      <c r="D1" s="11"/>
      <c r="E1" s="11"/>
      <c r="F1" s="11"/>
      <c r="G1" s="11"/>
      <c r="H1" s="11"/>
    </row>
    <row r="2" customFormat="false" ht="18" hidden="false" customHeight="true" outlineLevel="0" collapsed="false">
      <c r="B2" s="2" t="s">
        <v>35</v>
      </c>
      <c r="C2" s="2"/>
      <c r="D2" s="2"/>
      <c r="E2" s="2"/>
      <c r="F2" s="2"/>
      <c r="G2" s="2"/>
      <c r="H2" s="2"/>
    </row>
    <row r="3" customFormat="false" ht="3.75" hidden="false" customHeight="true" outlineLevel="0" collapsed="false"/>
    <row r="4" customFormat="false" ht="15" hidden="false" customHeight="false" outlineLevel="0" collapsed="false">
      <c r="B4" s="3" t="s">
        <v>156</v>
      </c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37</v>
      </c>
      <c r="C5" s="2"/>
      <c r="D5" s="2"/>
      <c r="E5" s="2"/>
      <c r="F5" s="2"/>
      <c r="G5" s="2"/>
      <c r="H5" s="2"/>
    </row>
    <row r="6" customFormat="false" ht="30" hidden="false" customHeight="true" outlineLevel="0" collapsed="false">
      <c r="B6" s="12" t="s">
        <v>38</v>
      </c>
      <c r="C6" s="13" t="s">
        <v>25</v>
      </c>
      <c r="D6" s="13" t="s">
        <v>27</v>
      </c>
      <c r="E6" s="13" t="s">
        <v>29</v>
      </c>
      <c r="F6" s="13" t="s">
        <v>30</v>
      </c>
      <c r="G6" s="13" t="s">
        <v>32</v>
      </c>
      <c r="H6" s="13" t="s">
        <v>39</v>
      </c>
    </row>
    <row r="7" customFormat="false" ht="15" hidden="false" customHeight="false" outlineLevel="0" collapsed="false">
      <c r="B7" s="4" t="s">
        <v>18</v>
      </c>
      <c r="C7" s="7" t="s">
        <v>26</v>
      </c>
      <c r="D7" s="7" t="s">
        <v>28</v>
      </c>
      <c r="E7" s="7" t="s">
        <v>28</v>
      </c>
      <c r="F7" s="7" t="s">
        <v>31</v>
      </c>
      <c r="G7" s="7" t="s">
        <v>31</v>
      </c>
    </row>
    <row r="8" customFormat="false" ht="15" hidden="false" customHeight="false" outlineLevel="0" collapsed="false">
      <c r="B8" s="4" t="s">
        <v>40</v>
      </c>
      <c r="C8" s="14" t="s">
        <v>41</v>
      </c>
      <c r="D8" s="14" t="s">
        <v>41</v>
      </c>
      <c r="E8" s="14" t="s">
        <v>41</v>
      </c>
      <c r="F8" s="14" t="s">
        <v>41</v>
      </c>
      <c r="G8" s="14" t="s">
        <v>41</v>
      </c>
    </row>
    <row r="9" customFormat="false" ht="15" hidden="false" customHeight="false" outlineLevel="0" collapsed="false">
      <c r="B9" s="4" t="s">
        <v>42</v>
      </c>
      <c r="C9" s="15" t="n">
        <v>0.2</v>
      </c>
      <c r="D9" s="15" t="n">
        <v>0.2</v>
      </c>
      <c r="E9" s="15" t="n">
        <v>0.2</v>
      </c>
      <c r="F9" s="15" t="n">
        <v>0.2</v>
      </c>
      <c r="G9" s="15" t="n">
        <v>0.2</v>
      </c>
      <c r="H9" s="16" t="str">
        <f aca="false">IF(ABS(SUM(C9:G9)-1)&lt;0.0001,TEXT(SUM(C9:G9),"0.0%")&amp;" ✓",TEXT(SUM(C9:G9),"0.0%")&amp;" ⚠")</f>
        <v>100.0% ✓</v>
      </c>
    </row>
    <row r="10" customFormat="false" ht="15" hidden="false" customHeight="false" outlineLevel="0" collapsed="false">
      <c r="B10" s="4" t="s">
        <v>43</v>
      </c>
      <c r="C10" s="15" t="n">
        <v>0.2</v>
      </c>
      <c r="D10" s="15" t="n">
        <v>0.2</v>
      </c>
      <c r="E10" s="15" t="n">
        <v>0.2</v>
      </c>
      <c r="F10" s="15" t="n">
        <v>0.2</v>
      </c>
      <c r="G10" s="15" t="n">
        <v>0.2</v>
      </c>
      <c r="H10" s="16" t="str">
        <f aca="false">IF(ABS(SUM(C10:G10)-1)&lt;0.0001,TEXT(SUM(C10:G10),"0.0%")&amp;" ✓",TEXT(SUM(C10:G10),"0.0%")&amp;" ⚠")</f>
        <v>100.0% ✓</v>
      </c>
    </row>
    <row r="11" customFormat="false" ht="15" hidden="false" customHeight="false" outlineLevel="0" collapsed="false">
      <c r="B11" s="4" t="s">
        <v>44</v>
      </c>
      <c r="C11" s="15" t="n">
        <v>0.2</v>
      </c>
      <c r="D11" s="15" t="n">
        <v>0.2</v>
      </c>
      <c r="E11" s="15" t="n">
        <v>0.2</v>
      </c>
      <c r="F11" s="15" t="n">
        <v>0.2</v>
      </c>
      <c r="G11" s="15" t="n">
        <v>0.2</v>
      </c>
      <c r="H11" s="16" t="str">
        <f aca="false">IF(ABS(SUM(C11:G11)-1)&lt;0.0001,TEXT(SUM(C11:G11),"0.0%")&amp;" ✓",TEXT(SUM(C11:G11),"0.0%")&amp;" ⚠")</f>
        <v>100.0% ✓</v>
      </c>
    </row>
    <row r="12" customFormat="false" ht="3.75" hidden="false" customHeight="true" outlineLevel="0" collapsed="false"/>
    <row r="13" customFormat="false" ht="15" hidden="false" customHeight="false" outlineLevel="0" collapsed="false">
      <c r="B13" s="17" t="s">
        <v>157</v>
      </c>
      <c r="C13" s="17"/>
      <c r="D13" s="17"/>
      <c r="E13" s="17"/>
      <c r="F13" s="17"/>
      <c r="G13" s="17"/>
      <c r="H13" s="17"/>
    </row>
    <row r="14" customFormat="false" ht="19.5" hidden="false" customHeight="true" outlineLevel="0" collapsed="false">
      <c r="B14" s="18" t="s">
        <v>46</v>
      </c>
      <c r="C14" s="18"/>
      <c r="D14" s="18"/>
      <c r="E14" s="18"/>
      <c r="F14" s="18"/>
      <c r="G14" s="18"/>
      <c r="H14" s="18"/>
    </row>
    <row r="15" customFormat="false" ht="33.75" hidden="false" customHeight="true" outlineLevel="0" collapsed="false">
      <c r="B15" s="12" t="s">
        <v>47</v>
      </c>
      <c r="C15" s="13" t="s">
        <v>25</v>
      </c>
      <c r="D15" s="13" t="s">
        <v>27</v>
      </c>
      <c r="E15" s="13" t="s">
        <v>29</v>
      </c>
      <c r="F15" s="13" t="s">
        <v>30</v>
      </c>
      <c r="G15" s="13" t="s">
        <v>32</v>
      </c>
      <c r="H15" s="13" t="s">
        <v>48</v>
      </c>
    </row>
    <row r="16" customFormat="false" ht="3.75" hidden="false" customHeight="true" outlineLevel="0" collapsed="false"/>
    <row r="17" customFormat="false" ht="15" hidden="false" customHeight="false" outlineLevel="0" collapsed="false">
      <c r="B17" s="19" t="s">
        <v>49</v>
      </c>
      <c r="C17" s="20" t="n">
        <f aca="false">'2023'!C59</f>
        <v>0</v>
      </c>
      <c r="D17" s="20" t="n">
        <f aca="false">'2023'!D59</f>
        <v>0</v>
      </c>
      <c r="E17" s="20" t="n">
        <f aca="false">'2023'!E59</f>
        <v>0</v>
      </c>
      <c r="F17" s="20" t="n">
        <f aca="false">'2023'!F59</f>
        <v>0</v>
      </c>
      <c r="G17" s="20" t="n">
        <f aca="false">'2023'!G59</f>
        <v>0</v>
      </c>
      <c r="H17" s="21" t="n">
        <f aca="false">SUM(C17:G17)</f>
        <v>0</v>
      </c>
    </row>
    <row r="18" customFormat="false" ht="13.5" hidden="false" customHeight="true" outlineLevel="0" collapsed="false">
      <c r="B18" s="17" t="s">
        <v>50</v>
      </c>
      <c r="C18" s="17"/>
      <c r="D18" s="17"/>
      <c r="E18" s="17"/>
      <c r="F18" s="17"/>
      <c r="G18" s="17"/>
      <c r="H18" s="17"/>
    </row>
    <row r="19" customFormat="false" ht="15" hidden="false" customHeight="false" outlineLevel="0" collapsed="false">
      <c r="B19" s="8" t="s">
        <v>51</v>
      </c>
      <c r="C19" s="22" t="n">
        <v>0</v>
      </c>
      <c r="D19" s="22" t="n">
        <v>0</v>
      </c>
      <c r="E19" s="22" t="n">
        <v>0</v>
      </c>
      <c r="F19" s="22" t="n">
        <v>0</v>
      </c>
      <c r="G19" s="22" t="n">
        <v>0</v>
      </c>
      <c r="H19" s="23" t="n">
        <f aca="false">SUM(C19:G19)</f>
        <v>0</v>
      </c>
    </row>
    <row r="20" customFormat="false" ht="15" hidden="false" customHeight="false" outlineLevel="0" collapsed="false">
      <c r="B20" s="8" t="s">
        <v>52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3" t="n">
        <f aca="false">SUM(C20:G20)</f>
        <v>0</v>
      </c>
    </row>
    <row r="21" customFormat="false" ht="13.5" hidden="false" customHeight="true" outlineLevel="0" collapsed="false">
      <c r="B21" s="25" t="s">
        <v>53</v>
      </c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B22" s="8" t="s">
        <v>54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3" t="n">
        <f aca="false">SUM(C22:G22)</f>
        <v>0</v>
      </c>
    </row>
    <row r="23" customFormat="false" ht="15" hidden="false" customHeight="false" outlineLevel="0" collapsed="false">
      <c r="B23" s="8" t="s">
        <v>55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3" t="n">
        <f aca="false">SUM(C23:G23)</f>
        <v>0</v>
      </c>
    </row>
    <row r="24" customFormat="false" ht="15" hidden="false" customHeight="false" outlineLevel="0" collapsed="false">
      <c r="B24" s="8" t="s">
        <v>56</v>
      </c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0</v>
      </c>
      <c r="H24" s="23" t="n">
        <f aca="false">SUM(C24:G24)</f>
        <v>0</v>
      </c>
    </row>
    <row r="25" customFormat="false" ht="15" hidden="false" customHeight="false" outlineLevel="0" collapsed="false">
      <c r="B25" s="8" t="s">
        <v>57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3" t="n">
        <f aca="false">SUM(C25:G25)</f>
        <v>0</v>
      </c>
    </row>
    <row r="26" customFormat="false" ht="15" hidden="false" customHeight="false" outlineLevel="0" collapsed="false">
      <c r="B26" s="8" t="s">
        <v>58</v>
      </c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3" t="n">
        <f aca="false">SUM(C26:G26)</f>
        <v>0</v>
      </c>
    </row>
    <row r="27" customFormat="false" ht="15" hidden="false" customHeight="false" outlineLevel="0" collapsed="false">
      <c r="B27" s="8" t="s">
        <v>59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3" t="n">
        <f aca="false">SUM(C27:G27)</f>
        <v>0</v>
      </c>
    </row>
    <row r="28" customFormat="false" ht="15" hidden="false" customHeight="false" outlineLevel="0" collapsed="false">
      <c r="B28" s="8" t="s">
        <v>60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3" t="n">
        <f aca="false">SUM(C28:G28)</f>
        <v>0</v>
      </c>
    </row>
    <row r="29" customFormat="false" ht="15" hidden="false" customHeight="false" outlineLevel="0" collapsed="false">
      <c r="B29" s="8" t="s">
        <v>61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3" t="n">
        <f aca="false">SUM(C29:G29)</f>
        <v>0</v>
      </c>
    </row>
    <row r="30" customFormat="false" ht="15" hidden="false" customHeight="false" outlineLevel="0" collapsed="false">
      <c r="B30" s="8" t="s">
        <v>62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3" t="n">
        <f aca="false">SUM(C30:G30)</f>
        <v>0</v>
      </c>
    </row>
    <row r="31" customFormat="false" ht="15" hidden="false" customHeight="false" outlineLevel="0" collapsed="false">
      <c r="B31" s="8" t="s">
        <v>63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3" t="n">
        <f aca="false">SUM(C31:G31)</f>
        <v>0</v>
      </c>
    </row>
    <row r="32" customFormat="false" ht="15" hidden="false" customHeight="false" outlineLevel="0" collapsed="false">
      <c r="B32" s="26" t="s">
        <v>64</v>
      </c>
      <c r="C32" s="27" t="n">
        <f aca="false">SUM(C22:C31)</f>
        <v>0</v>
      </c>
      <c r="D32" s="27" t="n">
        <f aca="false">SUM(D22:D31)</f>
        <v>0</v>
      </c>
      <c r="E32" s="27" t="n">
        <f aca="false">SUM(E22:E31)</f>
        <v>0</v>
      </c>
      <c r="F32" s="27" t="n">
        <f aca="false">SUM(F22:F31)</f>
        <v>0</v>
      </c>
      <c r="G32" s="27" t="n">
        <f aca="false">SUM(G22:G31)</f>
        <v>0</v>
      </c>
      <c r="H32" s="21" t="n">
        <f aca="false">SUM(C32:G32)</f>
        <v>0</v>
      </c>
    </row>
    <row r="33" customFormat="false" ht="13.5" hidden="false" customHeight="true" outlineLevel="0" collapsed="false">
      <c r="B33" s="25" t="s">
        <v>65</v>
      </c>
      <c r="C33" s="25"/>
      <c r="D33" s="25"/>
      <c r="E33" s="25"/>
      <c r="F33" s="25"/>
      <c r="G33" s="25"/>
      <c r="H33" s="25"/>
    </row>
    <row r="34" customFormat="false" ht="15" hidden="false" customHeight="false" outlineLevel="0" collapsed="false">
      <c r="B34" s="28" t="s">
        <v>66</v>
      </c>
      <c r="C34" s="29" t="n">
        <f aca="false">MAX(0,C117)</f>
        <v>0</v>
      </c>
      <c r="D34" s="29" t="n">
        <f aca="false">MAX(0,D117)</f>
        <v>0</v>
      </c>
      <c r="E34" s="29" t="n">
        <f aca="false">MAX(0,E117)</f>
        <v>0</v>
      </c>
      <c r="F34" s="29" t="n">
        <f aca="false">MAX(0,F117)</f>
        <v>0</v>
      </c>
      <c r="G34" s="29" t="n">
        <f aca="false">MAX(0,G117)</f>
        <v>0</v>
      </c>
      <c r="H34" s="23" t="n">
        <f aca="false">SUM(C34:G34)</f>
        <v>0</v>
      </c>
    </row>
    <row r="35" customFormat="false" ht="15" hidden="false" customHeight="false" outlineLevel="0" collapsed="false">
      <c r="B35" s="26" t="s">
        <v>67</v>
      </c>
      <c r="C35" s="27" t="n">
        <f aca="false">C19+C20+C32+C34</f>
        <v>0</v>
      </c>
      <c r="D35" s="27" t="n">
        <f aca="false">D19+D20+D32+D34</f>
        <v>0</v>
      </c>
      <c r="E35" s="27" t="n">
        <f aca="false">E19+E20+E32+E34</f>
        <v>0</v>
      </c>
      <c r="F35" s="27" t="n">
        <f aca="false">F19+F20+F32+F34</f>
        <v>0</v>
      </c>
      <c r="G35" s="27" t="n">
        <f aca="false">G19+G20+G32+G34</f>
        <v>0</v>
      </c>
      <c r="H35" s="21" t="n">
        <f aca="false">SUM(C35:G35)</f>
        <v>0</v>
      </c>
    </row>
    <row r="36" customFormat="false" ht="13.5" hidden="false" customHeight="true" outlineLevel="0" collapsed="false">
      <c r="B36" s="30" t="s">
        <v>68</v>
      </c>
      <c r="C36" s="30"/>
      <c r="D36" s="30"/>
      <c r="E36" s="30"/>
      <c r="F36" s="30"/>
      <c r="G36" s="30"/>
      <c r="H36" s="30"/>
    </row>
    <row r="37" customFormat="false" ht="15" hidden="false" customHeight="false" outlineLevel="0" collapsed="false">
      <c r="B37" s="8" t="s">
        <v>69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3" t="n">
        <f aca="false">SUM(C37:G37)</f>
        <v>0</v>
      </c>
    </row>
    <row r="38" customFormat="false" ht="15" hidden="false" customHeight="false" outlineLevel="0" collapsed="false">
      <c r="B38" s="8" t="s">
        <v>70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3" t="n">
        <f aca="false">SUM(C38:G38)</f>
        <v>0</v>
      </c>
    </row>
    <row r="39" customFormat="false" ht="13.5" hidden="false" customHeight="true" outlineLevel="0" collapsed="false">
      <c r="B39" s="31" t="s">
        <v>71</v>
      </c>
      <c r="C39" s="31"/>
      <c r="D39" s="31"/>
      <c r="E39" s="31"/>
      <c r="F39" s="31"/>
      <c r="G39" s="31"/>
      <c r="H39" s="31"/>
    </row>
    <row r="40" customFormat="false" ht="15" hidden="false" customHeight="false" outlineLevel="0" collapsed="false">
      <c r="B40" s="8" t="s">
        <v>72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3" t="n">
        <f aca="false">SUM(C40:G40)</f>
        <v>0</v>
      </c>
    </row>
    <row r="41" customFormat="false" ht="15" hidden="false" customHeight="false" outlineLevel="0" collapsed="false">
      <c r="B41" s="8" t="s">
        <v>73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3" t="n">
        <f aca="false">SUM(C41:G41)</f>
        <v>0</v>
      </c>
    </row>
    <row r="42" customFormat="false" ht="15" hidden="false" customHeight="false" outlineLevel="0" collapsed="false">
      <c r="B42" s="8" t="s">
        <v>74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3" t="n">
        <f aca="false">SUM(C42:G42)</f>
        <v>0</v>
      </c>
    </row>
    <row r="43" customFormat="false" ht="15" hidden="false" customHeight="false" outlineLevel="0" collapsed="false">
      <c r="B43" s="8" t="s">
        <v>75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3" t="n">
        <f aca="false">SUM(C43:G43)</f>
        <v>0</v>
      </c>
    </row>
    <row r="44" customFormat="false" ht="15" hidden="false" customHeight="false" outlineLevel="0" collapsed="false">
      <c r="B44" s="8" t="s">
        <v>76</v>
      </c>
      <c r="C44" s="22" t="n">
        <v>0</v>
      </c>
      <c r="D44" s="22" t="n">
        <v>0</v>
      </c>
      <c r="E44" s="22" t="n">
        <v>0</v>
      </c>
      <c r="F44" s="22" t="n">
        <v>0</v>
      </c>
      <c r="G44" s="22" t="n">
        <v>0</v>
      </c>
      <c r="H44" s="23" t="n">
        <f aca="false">SUM(C44:G44)</f>
        <v>0</v>
      </c>
    </row>
    <row r="45" customFormat="false" ht="15" hidden="false" customHeight="false" outlineLevel="0" collapsed="false">
      <c r="B45" s="8" t="s">
        <v>77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3" t="n">
        <f aca="false">SUM(C45:G45)</f>
        <v>0</v>
      </c>
    </row>
    <row r="46" customFormat="false" ht="15" hidden="false" customHeight="false" outlineLevel="0" collapsed="false">
      <c r="B46" s="8" t="s">
        <v>78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3" t="n">
        <f aca="false">SUM(C46:G46)</f>
        <v>0</v>
      </c>
    </row>
    <row r="47" customFormat="false" ht="15" hidden="false" customHeight="false" outlineLevel="0" collapsed="false">
      <c r="B47" s="8" t="s">
        <v>79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3" t="n">
        <f aca="false">SUM(C47:G47)</f>
        <v>0</v>
      </c>
    </row>
    <row r="48" customFormat="false" ht="15" hidden="false" customHeight="false" outlineLevel="0" collapsed="false">
      <c r="B48" s="8" t="s">
        <v>80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3" t="n">
        <f aca="false">SUM(C48:G48)</f>
        <v>0</v>
      </c>
    </row>
    <row r="49" customFormat="false" ht="15" hidden="false" customHeight="false" outlineLevel="0" collapsed="false">
      <c r="B49" s="8" t="s">
        <v>81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3" t="n">
        <f aca="false">SUM(C49:G49)</f>
        <v>0</v>
      </c>
    </row>
    <row r="50" customFormat="false" ht="15" hidden="false" customHeight="false" outlineLevel="0" collapsed="false">
      <c r="B50" s="8" t="s">
        <v>82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3" t="n">
        <f aca="false">SUM(C50:G50)</f>
        <v>0</v>
      </c>
    </row>
    <row r="51" customFormat="false" ht="15" hidden="false" customHeight="false" outlineLevel="0" collapsed="false">
      <c r="B51" s="32" t="s">
        <v>83</v>
      </c>
      <c r="C51" s="27" t="n">
        <f aca="false">SUM(C40:C50)</f>
        <v>0</v>
      </c>
      <c r="D51" s="27" t="n">
        <f aca="false">SUM(D40:D50)</f>
        <v>0</v>
      </c>
      <c r="E51" s="27" t="n">
        <f aca="false">SUM(E40:E50)</f>
        <v>0</v>
      </c>
      <c r="F51" s="27" t="n">
        <f aca="false">SUM(F40:F50)</f>
        <v>0</v>
      </c>
      <c r="G51" s="27" t="n">
        <f aca="false">SUM(G40:G50)</f>
        <v>0</v>
      </c>
      <c r="H51" s="21" t="n">
        <f aca="false">SUM(C51:G51)</f>
        <v>0</v>
      </c>
    </row>
    <row r="52" customFormat="false" ht="13.5" hidden="false" customHeight="true" outlineLevel="0" collapsed="false">
      <c r="B52" s="31" t="s">
        <v>84</v>
      </c>
      <c r="C52" s="31"/>
      <c r="D52" s="31"/>
      <c r="E52" s="31"/>
      <c r="F52" s="31"/>
      <c r="G52" s="31"/>
      <c r="H52" s="31"/>
    </row>
    <row r="53" customFormat="false" ht="15" hidden="false" customHeight="false" outlineLevel="0" collapsed="false">
      <c r="B53" s="28" t="s">
        <v>85</v>
      </c>
      <c r="C53" s="29" t="n">
        <f aca="false">MAX(0,-C117)</f>
        <v>-0</v>
      </c>
      <c r="D53" s="29" t="n">
        <f aca="false">MAX(0,-D117)</f>
        <v>-0</v>
      </c>
      <c r="E53" s="29" t="n">
        <f aca="false">MAX(0,-E117)</f>
        <v>-0</v>
      </c>
      <c r="F53" s="29" t="n">
        <f aca="false">MAX(0,-F117)</f>
        <v>-0</v>
      </c>
      <c r="G53" s="29" t="n">
        <f aca="false">MAX(0,-G117)</f>
        <v>-0</v>
      </c>
      <c r="H53" s="23" t="n">
        <f aca="false">SUM(C53:G53)</f>
        <v>0</v>
      </c>
    </row>
    <row r="54" customFormat="false" ht="15" hidden="false" customHeight="false" outlineLevel="0" collapsed="false">
      <c r="B54" s="32" t="s">
        <v>86</v>
      </c>
      <c r="C54" s="27" t="n">
        <f aca="false">C37+C38+C51+C53</f>
        <v>0</v>
      </c>
      <c r="D54" s="27" t="n">
        <f aca="false">D37+D38+D51+D53</f>
        <v>0</v>
      </c>
      <c r="E54" s="27" t="n">
        <f aca="false">E37+E38+E51+E53</f>
        <v>0</v>
      </c>
      <c r="F54" s="27" t="n">
        <f aca="false">F37+F38+F51+F53</f>
        <v>0</v>
      </c>
      <c r="G54" s="27" t="n">
        <f aca="false">G37+G38+G51+G53</f>
        <v>0</v>
      </c>
      <c r="H54" s="21" t="n">
        <f aca="false">SUM(C54:G54)</f>
        <v>0</v>
      </c>
    </row>
    <row r="55" customFormat="false" ht="13.5" hidden="false" customHeight="true" outlineLevel="0" collapsed="false">
      <c r="B55" s="33" t="s">
        <v>87</v>
      </c>
      <c r="C55" s="33"/>
      <c r="D55" s="33"/>
      <c r="E55" s="33"/>
      <c r="F55" s="33"/>
      <c r="G55" s="33"/>
      <c r="H55" s="33"/>
    </row>
    <row r="56" customFormat="false" ht="15" hidden="false" customHeight="false" outlineLevel="0" collapsed="false">
      <c r="B56" s="34" t="s">
        <v>88</v>
      </c>
      <c r="C56" s="29" t="n">
        <f aca="false">C17+C35-C54</f>
        <v>0</v>
      </c>
      <c r="D56" s="29" t="n">
        <f aca="false">D17+D35-D54</f>
        <v>0</v>
      </c>
      <c r="E56" s="29" t="n">
        <f aca="false">E17+E35-E54</f>
        <v>0</v>
      </c>
      <c r="F56" s="29" t="n">
        <f aca="false">F17+F35-F54</f>
        <v>0</v>
      </c>
      <c r="G56" s="29" t="n">
        <f aca="false">G17+G35-G54</f>
        <v>0</v>
      </c>
      <c r="H56" s="23" t="n">
        <f aca="false">SUM(C56:G56)</f>
        <v>0</v>
      </c>
    </row>
    <row r="57" customFormat="false" ht="15" hidden="false" customHeight="false" outlineLevel="0" collapsed="false">
      <c r="B57" s="35" t="s">
        <v>89</v>
      </c>
      <c r="C57" s="29" t="n">
        <f aca="false">MAX(0,-C56)</f>
        <v>-0</v>
      </c>
      <c r="D57" s="29" t="n">
        <f aca="false">MAX(0,-D56)</f>
        <v>-0</v>
      </c>
      <c r="E57" s="29" t="n">
        <f aca="false">MAX(0,-E56)</f>
        <v>-0</v>
      </c>
      <c r="F57" s="29" t="n">
        <f aca="false">MAX(0,-F56)</f>
        <v>-0</v>
      </c>
      <c r="G57" s="29" t="n">
        <f aca="false">MAX(0,-G56)</f>
        <v>-0</v>
      </c>
      <c r="H57" s="23" t="n">
        <f aca="false">SUM(C57:G57)</f>
        <v>0</v>
      </c>
    </row>
    <row r="58" customFormat="false" ht="15" hidden="false" customHeight="false" outlineLevel="0" collapsed="false">
      <c r="B58" s="28" t="s">
        <v>158</v>
      </c>
      <c r="C58" s="39" t="n">
        <f aca="false">MIN('2023'!C57,MAX(0,C56))</f>
        <v>0</v>
      </c>
      <c r="D58" s="39" t="n">
        <f aca="false">MIN('2023'!D57,MAX(0,D56))</f>
        <v>0</v>
      </c>
      <c r="E58" s="39" t="n">
        <f aca="false">MIN('2023'!E57,MAX(0,E56))</f>
        <v>0</v>
      </c>
      <c r="F58" s="39" t="n">
        <f aca="false">MIN('2023'!F57,MAX(0,F56))</f>
        <v>0</v>
      </c>
      <c r="G58" s="39" t="n">
        <f aca="false">MIN('2023'!G57,MAX(0,G56))</f>
        <v>0</v>
      </c>
      <c r="H58" s="23" t="n">
        <f aca="false">SUM(C58:G58)</f>
        <v>0</v>
      </c>
    </row>
    <row r="59" customFormat="false" ht="18" hidden="false" customHeight="true" outlineLevel="0" collapsed="false">
      <c r="B59" s="36" t="s">
        <v>159</v>
      </c>
      <c r="C59" s="27" t="n">
        <f aca="false">MAX(0,C56)-C58</f>
        <v>0</v>
      </c>
      <c r="D59" s="27" t="n">
        <f aca="false">MAX(0,D56)-D58</f>
        <v>0</v>
      </c>
      <c r="E59" s="27" t="n">
        <f aca="false">MAX(0,E56)-E58</f>
        <v>0</v>
      </c>
      <c r="F59" s="27" t="n">
        <f aca="false">MAX(0,F56)-F58</f>
        <v>0</v>
      </c>
      <c r="G59" s="27" t="n">
        <f aca="false">MAX(0,G56)-G58</f>
        <v>0</v>
      </c>
      <c r="H59" s="21" t="n">
        <f aca="false">SUM(C59:G59)</f>
        <v>0</v>
      </c>
    </row>
    <row r="60" customFormat="false" ht="3.75" hidden="false" customHeight="true" outlineLevel="0" collapsed="false"/>
    <row r="61" customFormat="false" ht="15" hidden="false" customHeight="false" outlineLevel="0" collapsed="false">
      <c r="B61" s="37" t="s">
        <v>160</v>
      </c>
      <c r="C61" s="37"/>
      <c r="D61" s="37"/>
      <c r="E61" s="37"/>
      <c r="F61" s="37"/>
      <c r="G61" s="37"/>
      <c r="H61" s="37"/>
    </row>
    <row r="62" customFormat="false" ht="19.5" hidden="false" customHeight="true" outlineLevel="0" collapsed="false">
      <c r="B62" s="38" t="s">
        <v>93</v>
      </c>
      <c r="C62" s="38"/>
      <c r="D62" s="38"/>
      <c r="E62" s="38"/>
      <c r="F62" s="38"/>
      <c r="G62" s="38"/>
      <c r="H62" s="38"/>
    </row>
    <row r="63" customFormat="false" ht="33.75" hidden="false" customHeight="true" outlineLevel="0" collapsed="false">
      <c r="B63" s="12" t="s">
        <v>94</v>
      </c>
      <c r="C63" s="13" t="s">
        <v>25</v>
      </c>
      <c r="D63" s="13" t="s">
        <v>27</v>
      </c>
      <c r="E63" s="13" t="s">
        <v>29</v>
      </c>
      <c r="F63" s="13" t="s">
        <v>30</v>
      </c>
      <c r="G63" s="13" t="s">
        <v>32</v>
      </c>
      <c r="H63" s="12" t="s">
        <v>48</v>
      </c>
    </row>
    <row r="64" customFormat="false" ht="3.75" hidden="false" customHeight="true" outlineLevel="0" collapsed="false"/>
    <row r="65" customFormat="false" ht="15" hidden="false" customHeight="false" outlineLevel="0" collapsed="false">
      <c r="B65" s="19" t="s">
        <v>95</v>
      </c>
      <c r="C65" s="20" t="n">
        <f aca="false">'2023'!C86</f>
        <v>0</v>
      </c>
      <c r="D65" s="20" t="n">
        <f aca="false">'2023'!D86</f>
        <v>0</v>
      </c>
      <c r="E65" s="20" t="n">
        <f aca="false">'2023'!E86</f>
        <v>0</v>
      </c>
      <c r="F65" s="20" t="n">
        <f aca="false">'2023'!F86</f>
        <v>0</v>
      </c>
      <c r="G65" s="20" t="n">
        <f aca="false">'2023'!G86</f>
        <v>0</v>
      </c>
      <c r="H65" s="21" t="n">
        <f aca="false">SUM(C65:G65)</f>
        <v>0</v>
      </c>
    </row>
    <row r="66" customFormat="false" ht="13.5" hidden="false" customHeight="true" outlineLevel="0" collapsed="false">
      <c r="B66" s="17" t="s">
        <v>96</v>
      </c>
      <c r="C66" s="17"/>
      <c r="D66" s="17"/>
      <c r="E66" s="17"/>
      <c r="F66" s="17"/>
      <c r="G66" s="17"/>
      <c r="H66" s="17"/>
    </row>
    <row r="67" customFormat="false" ht="15" hidden="false" customHeight="false" outlineLevel="0" collapsed="false">
      <c r="B67" s="35" t="s">
        <v>97</v>
      </c>
      <c r="C67" s="29" t="n">
        <f aca="false">C19</f>
        <v>0</v>
      </c>
      <c r="D67" s="29" t="n">
        <f aca="false">D19</f>
        <v>0</v>
      </c>
      <c r="E67" s="29" t="n">
        <f aca="false">E19</f>
        <v>0</v>
      </c>
      <c r="F67" s="29" t="n">
        <f aca="false">F19</f>
        <v>0</v>
      </c>
      <c r="G67" s="29" t="n">
        <f aca="false">G19</f>
        <v>0</v>
      </c>
      <c r="H67" s="23" t="n">
        <f aca="false">SUM(C67:G67)</f>
        <v>0</v>
      </c>
    </row>
    <row r="68" customFormat="false" ht="15" hidden="false" customHeight="false" outlineLevel="0" collapsed="false">
      <c r="B68" s="35" t="s">
        <v>98</v>
      </c>
      <c r="C68" s="29" t="n">
        <f aca="false">C20</f>
        <v>0</v>
      </c>
      <c r="D68" s="29" t="n">
        <f aca="false">D20</f>
        <v>0</v>
      </c>
      <c r="E68" s="29" t="n">
        <f aca="false">E20</f>
        <v>0</v>
      </c>
      <c r="F68" s="29" t="n">
        <f aca="false">F20</f>
        <v>0</v>
      </c>
      <c r="G68" s="29" t="n">
        <f aca="false">G20</f>
        <v>0</v>
      </c>
      <c r="H68" s="23" t="n">
        <f aca="false">SUM(C68:G68)</f>
        <v>0</v>
      </c>
    </row>
    <row r="69" customFormat="false" ht="15" hidden="false" customHeight="false" outlineLevel="0" collapsed="false">
      <c r="B69" s="35" t="s">
        <v>99</v>
      </c>
      <c r="C69" s="29" t="n">
        <f aca="false">C96</f>
        <v>0</v>
      </c>
      <c r="D69" s="29" t="n">
        <f aca="false">D96</f>
        <v>0</v>
      </c>
      <c r="E69" s="29" t="n">
        <f aca="false">E96</f>
        <v>0</v>
      </c>
      <c r="F69" s="29" t="n">
        <f aca="false">F96</f>
        <v>0</v>
      </c>
      <c r="G69" s="29" t="n">
        <f aca="false">G96</f>
        <v>0</v>
      </c>
      <c r="H69" s="23" t="n">
        <f aca="false">SUM(C69:G69)</f>
        <v>0</v>
      </c>
    </row>
    <row r="70" customFormat="false" ht="15" hidden="false" customHeight="false" outlineLevel="0" collapsed="false">
      <c r="B70" s="35" t="s">
        <v>100</v>
      </c>
      <c r="C70" s="39" t="n">
        <f aca="false">MAX(0,C112-'2023'!C112)</f>
        <v>0</v>
      </c>
      <c r="D70" s="39" t="n">
        <f aca="false">MAX(0,D112-'2023'!D112)</f>
        <v>0</v>
      </c>
      <c r="E70" s="39" t="n">
        <f aca="false">MAX(0,E112-'2023'!E112)</f>
        <v>0</v>
      </c>
      <c r="F70" s="39" t="n">
        <f aca="false">MAX(0,F112-'2023'!F112)</f>
        <v>0</v>
      </c>
      <c r="G70" s="39" t="n">
        <f aca="false">MAX(0,G112-'2023'!G112)</f>
        <v>0</v>
      </c>
      <c r="H70" s="23" t="n">
        <f aca="false">SUM(C70:G70)</f>
        <v>0</v>
      </c>
    </row>
    <row r="71" customFormat="false" ht="15" hidden="false" customHeight="false" outlineLevel="0" collapsed="false">
      <c r="B71" s="35" t="s">
        <v>101</v>
      </c>
      <c r="C71" s="29" t="n">
        <f aca="false">C32</f>
        <v>0</v>
      </c>
      <c r="D71" s="29" t="n">
        <f aca="false">D32</f>
        <v>0</v>
      </c>
      <c r="E71" s="29" t="n">
        <f aca="false">E32</f>
        <v>0</v>
      </c>
      <c r="F71" s="29" t="n">
        <f aca="false">F32</f>
        <v>0</v>
      </c>
      <c r="G71" s="29" t="n">
        <f aca="false">G32</f>
        <v>0</v>
      </c>
      <c r="H71" s="23" t="n">
        <f aca="false">SUM(C71:G71)</f>
        <v>0</v>
      </c>
    </row>
    <row r="72" customFormat="false" ht="15" hidden="false" customHeight="false" outlineLevel="0" collapsed="false">
      <c r="B72" s="8" t="s">
        <v>102</v>
      </c>
      <c r="C72" s="22" t="n">
        <v>0</v>
      </c>
      <c r="D72" s="22" t="n">
        <v>0</v>
      </c>
      <c r="E72" s="22" t="n">
        <v>0</v>
      </c>
      <c r="F72" s="22" t="n">
        <v>0</v>
      </c>
      <c r="G72" s="22" t="n">
        <v>0</v>
      </c>
      <c r="H72" s="23" t="n">
        <f aca="false">SUM(C72:G72)</f>
        <v>0</v>
      </c>
    </row>
    <row r="73" customFormat="false" ht="15" hidden="false" customHeight="false" outlineLevel="0" collapsed="false">
      <c r="B73" s="26" t="s">
        <v>103</v>
      </c>
      <c r="C73" s="27" t="n">
        <f aca="false">C67+C68+C69+C70+C71+C72</f>
        <v>0</v>
      </c>
      <c r="D73" s="27" t="n">
        <f aca="false">D67+D68+D69+D70+D71+D72</f>
        <v>0</v>
      </c>
      <c r="E73" s="27" t="n">
        <f aca="false">E67+E68+E69+E70+E71+E72</f>
        <v>0</v>
      </c>
      <c r="F73" s="27" t="n">
        <f aca="false">F67+F68+F69+F70+F71+F72</f>
        <v>0</v>
      </c>
      <c r="G73" s="27" t="n">
        <f aca="false">G67+G68+G69+G70+G71+G72</f>
        <v>0</v>
      </c>
      <c r="H73" s="21" t="n">
        <f aca="false">SUM(C73:G73)</f>
        <v>0</v>
      </c>
    </row>
    <row r="74" customFormat="false" ht="13.5" hidden="false" customHeight="true" outlineLevel="0" collapsed="false">
      <c r="B74" s="30" t="s">
        <v>104</v>
      </c>
      <c r="C74" s="30"/>
      <c r="D74" s="30"/>
      <c r="E74" s="30"/>
      <c r="F74" s="30"/>
      <c r="G74" s="30"/>
      <c r="H74" s="30"/>
    </row>
    <row r="75" customFormat="false" ht="15" hidden="false" customHeight="false" outlineLevel="0" collapsed="false">
      <c r="B75" s="35" t="s">
        <v>105</v>
      </c>
      <c r="C75" s="29" t="n">
        <f aca="false">C37</f>
        <v>0</v>
      </c>
      <c r="D75" s="29" t="n">
        <f aca="false">D37</f>
        <v>0</v>
      </c>
      <c r="E75" s="29" t="n">
        <f aca="false">E37</f>
        <v>0</v>
      </c>
      <c r="F75" s="29" t="n">
        <f aca="false">F37</f>
        <v>0</v>
      </c>
      <c r="G75" s="29" t="n">
        <f aca="false">G37</f>
        <v>0</v>
      </c>
      <c r="H75" s="23" t="n">
        <f aca="false">SUM(C75:G75)</f>
        <v>0</v>
      </c>
    </row>
    <row r="76" customFormat="false" ht="15" hidden="false" customHeight="false" outlineLevel="0" collapsed="false">
      <c r="B76" s="35" t="s">
        <v>106</v>
      </c>
      <c r="C76" s="29" t="n">
        <f aca="false">C38</f>
        <v>0</v>
      </c>
      <c r="D76" s="29" t="n">
        <f aca="false">D38</f>
        <v>0</v>
      </c>
      <c r="E76" s="29" t="n">
        <f aca="false">E38</f>
        <v>0</v>
      </c>
      <c r="F76" s="29" t="n">
        <f aca="false">F38</f>
        <v>0</v>
      </c>
      <c r="G76" s="29" t="n">
        <f aca="false">G38</f>
        <v>0</v>
      </c>
      <c r="H76" s="23" t="n">
        <f aca="false">SUM(C76:G76)</f>
        <v>0</v>
      </c>
    </row>
    <row r="77" customFormat="false" ht="15" hidden="false" customHeight="false" outlineLevel="0" collapsed="false">
      <c r="B77" s="35" t="s">
        <v>107</v>
      </c>
      <c r="C77" s="29" t="n">
        <f aca="false">C97</f>
        <v>0</v>
      </c>
      <c r="D77" s="29" t="n">
        <f aca="false">D97</f>
        <v>0</v>
      </c>
      <c r="E77" s="29" t="n">
        <f aca="false">E97</f>
        <v>0</v>
      </c>
      <c r="F77" s="29" t="n">
        <f aca="false">F97</f>
        <v>0</v>
      </c>
      <c r="G77" s="29" t="n">
        <f aca="false">G97</f>
        <v>0</v>
      </c>
      <c r="H77" s="23" t="n">
        <f aca="false">SUM(C77:G77)</f>
        <v>0</v>
      </c>
    </row>
    <row r="78" customFormat="false" ht="15" hidden="false" customHeight="false" outlineLevel="0" collapsed="false">
      <c r="B78" s="35" t="s">
        <v>108</v>
      </c>
      <c r="C78" s="39" t="n">
        <f aca="false">MAX(0,'2023'!C112-C112)</f>
        <v>0</v>
      </c>
      <c r="D78" s="39" t="n">
        <f aca="false">MAX(0,'2023'!D112-D112)</f>
        <v>0</v>
      </c>
      <c r="E78" s="39" t="n">
        <f aca="false">MAX(0,'2023'!E112-E112)</f>
        <v>0</v>
      </c>
      <c r="F78" s="39" t="n">
        <f aca="false">MAX(0,'2023'!F112-F112)</f>
        <v>0</v>
      </c>
      <c r="G78" s="39" t="n">
        <f aca="false">MAX(0,'2023'!G112-G112)</f>
        <v>0</v>
      </c>
      <c r="H78" s="23" t="n">
        <f aca="false">SUM(C78:G78)</f>
        <v>0</v>
      </c>
    </row>
    <row r="79" customFormat="false" ht="15" hidden="false" customHeight="false" outlineLevel="0" collapsed="false">
      <c r="B79" s="35" t="s">
        <v>109</v>
      </c>
      <c r="C79" s="29" t="n">
        <f aca="false">C51</f>
        <v>0</v>
      </c>
      <c r="D79" s="29" t="n">
        <f aca="false">D51</f>
        <v>0</v>
      </c>
      <c r="E79" s="29" t="n">
        <f aca="false">E51</f>
        <v>0</v>
      </c>
      <c r="F79" s="29" t="n">
        <f aca="false">F51</f>
        <v>0</v>
      </c>
      <c r="G79" s="29" t="n">
        <f aca="false">G51</f>
        <v>0</v>
      </c>
      <c r="H79" s="23" t="n">
        <f aca="false">SUM(C79:G79)</f>
        <v>0</v>
      </c>
    </row>
    <row r="80" customFormat="false" ht="15" hidden="false" customHeight="false" outlineLevel="0" collapsed="false">
      <c r="B80" s="8" t="s">
        <v>110</v>
      </c>
      <c r="C80" s="22" t="n">
        <v>0</v>
      </c>
      <c r="D80" s="22" t="n">
        <v>0</v>
      </c>
      <c r="E80" s="22" t="n">
        <v>0</v>
      </c>
      <c r="F80" s="22" t="n">
        <v>0</v>
      </c>
      <c r="G80" s="22" t="n">
        <v>0</v>
      </c>
      <c r="H80" s="23" t="n">
        <f aca="false">SUM(C80:G80)</f>
        <v>0</v>
      </c>
    </row>
    <row r="81" customFormat="false" ht="15" hidden="false" customHeight="false" outlineLevel="0" collapsed="false">
      <c r="B81" s="32" t="s">
        <v>111</v>
      </c>
      <c r="C81" s="27" t="n">
        <f aca="false">C75+C76+C77+C78+C79+C80</f>
        <v>0</v>
      </c>
      <c r="D81" s="27" t="n">
        <f aca="false">D75+D76+D77+D78+D79+D80</f>
        <v>0</v>
      </c>
      <c r="E81" s="27" t="n">
        <f aca="false">E75+E76+E77+E78+E79+E80</f>
        <v>0</v>
      </c>
      <c r="F81" s="27" t="n">
        <f aca="false">F75+F76+F77+F78+F79+F80</f>
        <v>0</v>
      </c>
      <c r="G81" s="27" t="n">
        <f aca="false">G75+G76+G77+G78+G79+G80</f>
        <v>0</v>
      </c>
      <c r="H81" s="21" t="n">
        <f aca="false">SUM(C81:G81)</f>
        <v>0</v>
      </c>
    </row>
    <row r="82" customFormat="false" ht="15" hidden="false" customHeight="false" outlineLevel="0" collapsed="false">
      <c r="B82" s="34" t="s">
        <v>112</v>
      </c>
      <c r="C82" s="29" t="n">
        <f aca="false">C65+C73-C81</f>
        <v>0</v>
      </c>
      <c r="D82" s="29" t="n">
        <f aca="false">D65+D73-D81</f>
        <v>0</v>
      </c>
      <c r="E82" s="29" t="n">
        <f aca="false">E65+E73-E81</f>
        <v>0</v>
      </c>
      <c r="F82" s="29" t="n">
        <f aca="false">F65+F73-F81</f>
        <v>0</v>
      </c>
      <c r="G82" s="29" t="n">
        <f aca="false">G65+G73-G81</f>
        <v>0</v>
      </c>
      <c r="H82" s="23" t="n">
        <f aca="false">SUM(C82:G82)</f>
        <v>0</v>
      </c>
    </row>
    <row r="83" customFormat="false" ht="13.5" hidden="false" customHeight="true" outlineLevel="0" collapsed="false">
      <c r="B83" s="33" t="s">
        <v>113</v>
      </c>
      <c r="C83" s="33"/>
      <c r="D83" s="33"/>
      <c r="E83" s="33"/>
      <c r="F83" s="33"/>
      <c r="G83" s="33"/>
      <c r="H83" s="33"/>
    </row>
    <row r="84" customFormat="false" ht="15" hidden="false" customHeight="false" outlineLevel="0" collapsed="false">
      <c r="B84" s="35" t="s">
        <v>114</v>
      </c>
      <c r="C84" s="29" t="n">
        <f aca="false">MAX(0,-C82)</f>
        <v>-0</v>
      </c>
      <c r="D84" s="29" t="n">
        <f aca="false">MAX(0,-D82)</f>
        <v>-0</v>
      </c>
      <c r="E84" s="29" t="n">
        <f aca="false">MAX(0,-E82)</f>
        <v>-0</v>
      </c>
      <c r="F84" s="29" t="n">
        <f aca="false">MAX(0,-F82)</f>
        <v>-0</v>
      </c>
      <c r="G84" s="29" t="n">
        <f aca="false">MAX(0,-G82)</f>
        <v>-0</v>
      </c>
      <c r="H84" s="23" t="n">
        <f aca="false">SUM(C84:G84)</f>
        <v>0</v>
      </c>
    </row>
    <row r="85" customFormat="false" ht="15" hidden="false" customHeight="false" outlineLevel="0" collapsed="false">
      <c r="B85" s="28" t="s">
        <v>161</v>
      </c>
      <c r="C85" s="39" t="n">
        <f aca="false">MIN('2023'!C84,MAX(0,C82))</f>
        <v>0</v>
      </c>
      <c r="D85" s="39" t="n">
        <f aca="false">MIN('2023'!D84,MAX(0,D82))</f>
        <v>0</v>
      </c>
      <c r="E85" s="39" t="n">
        <f aca="false">MIN('2023'!E84,MAX(0,E82))</f>
        <v>0</v>
      </c>
      <c r="F85" s="39" t="n">
        <f aca="false">MIN('2023'!F84,MAX(0,F82))</f>
        <v>0</v>
      </c>
      <c r="G85" s="39" t="n">
        <f aca="false">MIN('2023'!G84,MAX(0,G82))</f>
        <v>0</v>
      </c>
      <c r="H85" s="23" t="n">
        <f aca="false">SUM(C85:G85)</f>
        <v>0</v>
      </c>
    </row>
    <row r="86" customFormat="false" ht="18" hidden="false" customHeight="true" outlineLevel="0" collapsed="false">
      <c r="B86" s="36" t="s">
        <v>162</v>
      </c>
      <c r="C86" s="27" t="n">
        <f aca="false">MAX(0,C82)-C85</f>
        <v>0</v>
      </c>
      <c r="D86" s="27" t="n">
        <f aca="false">MAX(0,D82)-D85</f>
        <v>0</v>
      </c>
      <c r="E86" s="27" t="n">
        <f aca="false">MAX(0,E82)-E85</f>
        <v>0</v>
      </c>
      <c r="F86" s="27" t="n">
        <f aca="false">MAX(0,F82)-F85</f>
        <v>0</v>
      </c>
      <c r="G86" s="27" t="n">
        <f aca="false">MAX(0,G82)-G85</f>
        <v>0</v>
      </c>
      <c r="H86" s="21" t="n">
        <f aca="false">SUM(C86:G86)</f>
        <v>0</v>
      </c>
    </row>
    <row r="87" customFormat="false" ht="15" hidden="false" customHeight="false" outlineLevel="0" collapsed="false">
      <c r="B87" s="40" t="s">
        <v>117</v>
      </c>
      <c r="C87" s="27" t="n">
        <f aca="false">MIN(C59,C86)</f>
        <v>0</v>
      </c>
      <c r="D87" s="27" t="n">
        <f aca="false">MIN(D59,D86)</f>
        <v>0</v>
      </c>
      <c r="E87" s="27" t="n">
        <f aca="false">MIN(E59,E86)</f>
        <v>0</v>
      </c>
      <c r="F87" s="27" t="n">
        <f aca="false">MIN(F59,F86)</f>
        <v>0</v>
      </c>
      <c r="G87" s="27" t="n">
        <f aca="false">MIN(G59,G86)</f>
        <v>0</v>
      </c>
      <c r="H87" s="21" t="n">
        <f aca="false">SUM(C87:G87)</f>
        <v>0</v>
      </c>
    </row>
    <row r="88" customFormat="false" ht="3.75" hidden="false" customHeight="true" outlineLevel="0" collapsed="false"/>
    <row r="89" customFormat="false" ht="15" hidden="false" customHeight="false" outlineLevel="0" collapsed="false">
      <c r="B89" s="3" t="s">
        <v>163</v>
      </c>
      <c r="C89" s="3"/>
      <c r="D89" s="3"/>
      <c r="E89" s="3"/>
      <c r="F89" s="3"/>
      <c r="G89" s="3"/>
      <c r="H89" s="3"/>
    </row>
    <row r="90" customFormat="false" ht="19.5" hidden="false" customHeight="true" outlineLevel="0" collapsed="false">
      <c r="B90" s="2" t="s">
        <v>119</v>
      </c>
      <c r="C90" s="2"/>
      <c r="D90" s="2"/>
      <c r="E90" s="2"/>
      <c r="F90" s="2"/>
      <c r="G90" s="2"/>
      <c r="H90" s="2"/>
    </row>
    <row r="91" customFormat="false" ht="30" hidden="false" customHeight="true" outlineLevel="0" collapsed="false">
      <c r="B91" s="12" t="s">
        <v>120</v>
      </c>
      <c r="C91" s="13" t="s">
        <v>25</v>
      </c>
      <c r="D91" s="13" t="s">
        <v>27</v>
      </c>
      <c r="E91" s="13" t="s">
        <v>29</v>
      </c>
      <c r="F91" s="13" t="s">
        <v>30</v>
      </c>
      <c r="G91" s="13" t="s">
        <v>32</v>
      </c>
      <c r="H91" s="13" t="s">
        <v>121</v>
      </c>
    </row>
    <row r="92" customFormat="false" ht="3.75" hidden="false" customHeight="true" outlineLevel="0" collapsed="false"/>
    <row r="93" customFormat="false" ht="13.5" hidden="false" customHeight="true" outlineLevel="0" collapsed="false">
      <c r="B93" s="3" t="s">
        <v>122</v>
      </c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B94" s="4" t="s">
        <v>123</v>
      </c>
      <c r="C94" s="41" t="n">
        <v>0</v>
      </c>
      <c r="D94" s="42" t="s">
        <v>124</v>
      </c>
      <c r="E94" s="42"/>
      <c r="F94" s="42"/>
      <c r="G94" s="42"/>
    </row>
    <row r="95" customFormat="false" ht="15" hidden="false" customHeight="false" outlineLevel="0" collapsed="false">
      <c r="B95" s="35" t="s">
        <v>125</v>
      </c>
      <c r="C95" s="43" t="n">
        <f aca="false">'2023'!C98</f>
        <v>0</v>
      </c>
      <c r="D95" s="43" t="n">
        <f aca="false">'2023'!D98</f>
        <v>0</v>
      </c>
      <c r="E95" s="43" t="n">
        <f aca="false">'2023'!E98</f>
        <v>0</v>
      </c>
      <c r="F95" s="43" t="n">
        <f aca="false">'2023'!F98</f>
        <v>0</v>
      </c>
      <c r="G95" s="43" t="n">
        <f aca="false">'2023'!G98</f>
        <v>0</v>
      </c>
      <c r="H95" s="44" t="n">
        <f aca="false">SUM(C95:G95)</f>
        <v>0</v>
      </c>
    </row>
    <row r="96" customFormat="false" ht="15" hidden="false" customHeight="false" outlineLevel="0" collapsed="false">
      <c r="B96" s="35" t="s">
        <v>126</v>
      </c>
      <c r="C96" s="41" t="n">
        <v>0</v>
      </c>
      <c r="D96" s="41" t="n">
        <v>0</v>
      </c>
      <c r="E96" s="41" t="n">
        <v>0</v>
      </c>
      <c r="F96" s="41" t="n">
        <v>0</v>
      </c>
      <c r="G96" s="41" t="n">
        <v>0</v>
      </c>
      <c r="H96" s="44" t="n">
        <f aca="false">SUM(C96:G96)</f>
        <v>0</v>
      </c>
    </row>
    <row r="97" customFormat="false" ht="15" hidden="false" customHeight="false" outlineLevel="0" collapsed="false">
      <c r="B97" s="35" t="s">
        <v>127</v>
      </c>
      <c r="C97" s="41" t="n">
        <v>0</v>
      </c>
      <c r="D97" s="41" t="n">
        <v>0</v>
      </c>
      <c r="E97" s="41" t="n">
        <v>0</v>
      </c>
      <c r="F97" s="41" t="n">
        <v>0</v>
      </c>
      <c r="G97" s="41" t="n">
        <v>0</v>
      </c>
      <c r="H97" s="44" t="n">
        <f aca="false">SUM(C97:G97)</f>
        <v>0</v>
      </c>
    </row>
    <row r="98" customFormat="false" ht="15" hidden="false" customHeight="false" outlineLevel="0" collapsed="false">
      <c r="B98" s="4" t="s">
        <v>128</v>
      </c>
      <c r="C98" s="21" t="n">
        <f aca="false">C95+C96-C97</f>
        <v>0</v>
      </c>
      <c r="D98" s="21" t="n">
        <f aca="false">D95+D96-D97</f>
        <v>0</v>
      </c>
      <c r="E98" s="21" t="n">
        <f aca="false">E95+E96-E97</f>
        <v>0</v>
      </c>
      <c r="F98" s="21" t="n">
        <f aca="false">F95+F96-F97</f>
        <v>0</v>
      </c>
      <c r="G98" s="21" t="n">
        <f aca="false">G95+G96-G97</f>
        <v>0</v>
      </c>
      <c r="H98" s="45" t="str">
        <f aca="false">IF(ABS(C94-SUM(C98:G98))&lt;1,TEXT(SUM(C98:G98),"$#,##0")&amp;" ✓",TEXT(SUM(C98:G98),"$#,##0")&amp;" ⚠ gap")</f>
        <v>$0 ✓</v>
      </c>
    </row>
    <row r="99" customFormat="false" ht="3.75" hidden="false" customHeight="true" outlineLevel="0" collapsed="false"/>
    <row r="100" customFormat="false" ht="13.5" hidden="false" customHeight="true" outlineLevel="0" collapsed="false">
      <c r="B100" s="37" t="s">
        <v>129</v>
      </c>
      <c r="C100" s="37"/>
      <c r="D100" s="37"/>
      <c r="E100" s="37"/>
      <c r="F100" s="37"/>
      <c r="G100" s="37"/>
      <c r="H100" s="37"/>
    </row>
    <row r="101" customFormat="false" ht="15" hidden="false" customHeight="false" outlineLevel="0" collapsed="false">
      <c r="B101" s="4" t="s">
        <v>123</v>
      </c>
      <c r="C101" s="41" t="n">
        <v>0</v>
      </c>
      <c r="D101" s="42" t="s">
        <v>124</v>
      </c>
      <c r="E101" s="42"/>
      <c r="F101" s="42"/>
      <c r="G101" s="42"/>
    </row>
    <row r="102" customFormat="false" ht="15" hidden="false" customHeight="false" outlineLevel="0" collapsed="false">
      <c r="B102" s="35" t="s">
        <v>125</v>
      </c>
      <c r="C102" s="43" t="n">
        <f aca="false">'2023'!C105</f>
        <v>0</v>
      </c>
      <c r="D102" s="43" t="n">
        <f aca="false">'2023'!D105</f>
        <v>0</v>
      </c>
      <c r="E102" s="43" t="n">
        <f aca="false">'2023'!E105</f>
        <v>0</v>
      </c>
      <c r="F102" s="43" t="n">
        <f aca="false">'2023'!F105</f>
        <v>0</v>
      </c>
      <c r="G102" s="43" t="n">
        <f aca="false">'2023'!G105</f>
        <v>0</v>
      </c>
      <c r="H102" s="44" t="n">
        <f aca="false">SUM(C102:G102)</f>
        <v>0</v>
      </c>
    </row>
    <row r="103" customFormat="false" ht="15" hidden="false" customHeight="false" outlineLevel="0" collapsed="false">
      <c r="B103" s="35" t="s">
        <v>126</v>
      </c>
      <c r="C103" s="41" t="n">
        <v>0</v>
      </c>
      <c r="D103" s="41" t="n">
        <v>0</v>
      </c>
      <c r="E103" s="41" t="n">
        <v>0</v>
      </c>
      <c r="F103" s="41" t="n">
        <v>0</v>
      </c>
      <c r="G103" s="41" t="n">
        <v>0</v>
      </c>
      <c r="H103" s="44" t="n">
        <f aca="false">SUM(C103:G103)</f>
        <v>0</v>
      </c>
    </row>
    <row r="104" customFormat="false" ht="15" hidden="false" customHeight="false" outlineLevel="0" collapsed="false">
      <c r="B104" s="35" t="s">
        <v>127</v>
      </c>
      <c r="C104" s="41" t="n">
        <v>0</v>
      </c>
      <c r="D104" s="41" t="n">
        <v>0</v>
      </c>
      <c r="E104" s="41" t="n">
        <v>0</v>
      </c>
      <c r="F104" s="41" t="n">
        <v>0</v>
      </c>
      <c r="G104" s="41" t="n">
        <v>0</v>
      </c>
      <c r="H104" s="44" t="n">
        <f aca="false">SUM(C104:G104)</f>
        <v>0</v>
      </c>
    </row>
    <row r="105" customFormat="false" ht="15" hidden="false" customHeight="false" outlineLevel="0" collapsed="false">
      <c r="B105" s="4" t="s">
        <v>128</v>
      </c>
      <c r="C105" s="21" t="n">
        <f aca="false">C102+C103-C104</f>
        <v>0</v>
      </c>
      <c r="D105" s="21" t="n">
        <f aca="false">D102+D103-D104</f>
        <v>0</v>
      </c>
      <c r="E105" s="21" t="n">
        <f aca="false">E102+E103-E104</f>
        <v>0</v>
      </c>
      <c r="F105" s="21" t="n">
        <f aca="false">F102+F103-F104</f>
        <v>0</v>
      </c>
      <c r="G105" s="21" t="n">
        <f aca="false">G102+G103-G104</f>
        <v>0</v>
      </c>
      <c r="H105" s="45" t="str">
        <f aca="false">IF(ABS(C101-SUM(C105:G105))&lt;1,TEXT(SUM(C105:G105),"$#,##0")&amp;" ✓",TEXT(SUM(C105:G105),"$#,##0")&amp;" ⚠ gap")</f>
        <v>$0 ✓</v>
      </c>
    </row>
    <row r="106" customFormat="false" ht="3.75" hidden="false" customHeight="true" outlineLevel="0" collapsed="false"/>
    <row r="107" customFormat="false" ht="13.5" hidden="false" customHeight="true" outlineLevel="0" collapsed="false">
      <c r="B107" s="17" t="s">
        <v>130</v>
      </c>
      <c r="C107" s="17"/>
      <c r="D107" s="17"/>
      <c r="E107" s="17"/>
      <c r="F107" s="17"/>
      <c r="G107" s="17"/>
      <c r="H107" s="17"/>
    </row>
    <row r="108" customFormat="false" ht="15" hidden="false" customHeight="false" outlineLevel="0" collapsed="false">
      <c r="B108" s="4" t="s">
        <v>123</v>
      </c>
      <c r="C108" s="41" t="n">
        <v>0</v>
      </c>
      <c r="D108" s="42" t="s">
        <v>124</v>
      </c>
      <c r="E108" s="42"/>
      <c r="F108" s="42"/>
      <c r="G108" s="42"/>
    </row>
    <row r="109" customFormat="false" ht="15" hidden="false" customHeight="false" outlineLevel="0" collapsed="false">
      <c r="B109" s="35" t="s">
        <v>125</v>
      </c>
      <c r="C109" s="43" t="n">
        <f aca="false">'2023'!C112</f>
        <v>0</v>
      </c>
      <c r="D109" s="43" t="n">
        <f aca="false">'2023'!D112</f>
        <v>0</v>
      </c>
      <c r="E109" s="43" t="n">
        <f aca="false">'2023'!E112</f>
        <v>0</v>
      </c>
      <c r="F109" s="43" t="n">
        <f aca="false">'2023'!F112</f>
        <v>0</v>
      </c>
      <c r="G109" s="43" t="n">
        <f aca="false">'2023'!G112</f>
        <v>0</v>
      </c>
      <c r="H109" s="44" t="n">
        <f aca="false">SUM(C109:G109)</f>
        <v>0</v>
      </c>
    </row>
    <row r="110" customFormat="false" ht="15" hidden="false" customHeight="false" outlineLevel="0" collapsed="false">
      <c r="B110" s="35" t="s">
        <v>126</v>
      </c>
      <c r="C110" s="41" t="n">
        <v>0</v>
      </c>
      <c r="D110" s="41" t="n">
        <v>0</v>
      </c>
      <c r="E110" s="41" t="n">
        <v>0</v>
      </c>
      <c r="F110" s="41" t="n">
        <v>0</v>
      </c>
      <c r="G110" s="41" t="n">
        <v>0</v>
      </c>
      <c r="H110" s="44" t="n">
        <f aca="false">SUM(C110:G110)</f>
        <v>0</v>
      </c>
    </row>
    <row r="111" customFormat="false" ht="15" hidden="false" customHeight="false" outlineLevel="0" collapsed="false">
      <c r="B111" s="35" t="s">
        <v>127</v>
      </c>
      <c r="C111" s="41" t="n">
        <v>0</v>
      </c>
      <c r="D111" s="41" t="n">
        <v>0</v>
      </c>
      <c r="E111" s="41" t="n">
        <v>0</v>
      </c>
      <c r="F111" s="41" t="n">
        <v>0</v>
      </c>
      <c r="G111" s="41" t="n">
        <v>0</v>
      </c>
      <c r="H111" s="44" t="n">
        <f aca="false">SUM(C111:G111)</f>
        <v>0</v>
      </c>
    </row>
    <row r="112" customFormat="false" ht="15" hidden="false" customHeight="false" outlineLevel="0" collapsed="false">
      <c r="B112" s="4" t="s">
        <v>128</v>
      </c>
      <c r="C112" s="21" t="n">
        <f aca="false">C109+C110-C111</f>
        <v>0</v>
      </c>
      <c r="D112" s="21" t="n">
        <f aca="false">D109+D110-D111</f>
        <v>0</v>
      </c>
      <c r="E112" s="21" t="n">
        <f aca="false">E109+E110-E111</f>
        <v>0</v>
      </c>
      <c r="F112" s="21" t="n">
        <f aca="false">F109+F110-F111</f>
        <v>0</v>
      </c>
      <c r="G112" s="21" t="n">
        <f aca="false">G109+G110-G111</f>
        <v>0</v>
      </c>
      <c r="H112" s="45" t="str">
        <f aca="false">IF(ABS(C108-SUM(C112:G112))&lt;1,TEXT(SUM(C112:G112),"$#,##0")&amp;" ✓",TEXT(SUM(C112:G112),"$#,##0")&amp;" ⚠ gap")</f>
        <v>$0 ✓</v>
      </c>
    </row>
    <row r="113" customFormat="false" ht="3.75" hidden="false" customHeight="true" outlineLevel="0" collapsed="false"/>
    <row r="114" customFormat="false" ht="15" hidden="false" customHeight="false" outlineLevel="0" collapsed="false">
      <c r="B114" s="3" t="s">
        <v>164</v>
      </c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B115" s="35" t="s">
        <v>132</v>
      </c>
      <c r="C115" s="23" t="n">
        <f aca="false">C98+C105+C112</f>
        <v>0</v>
      </c>
      <c r="D115" s="23" t="n">
        <f aca="false">D98+D105+D112</f>
        <v>0</v>
      </c>
      <c r="E115" s="23" t="n">
        <f aca="false">E98+E105+E112</f>
        <v>0</v>
      </c>
      <c r="F115" s="23" t="n">
        <f aca="false">F98+F105+F112</f>
        <v>0</v>
      </c>
      <c r="G115" s="23" t="n">
        <f aca="false">G98+G105+G112</f>
        <v>0</v>
      </c>
      <c r="H115" s="44" t="n">
        <f aca="false">SUM(C115:G115)</f>
        <v>0</v>
      </c>
    </row>
    <row r="116" customFormat="false" ht="15" hidden="false" customHeight="false" outlineLevel="0" collapsed="false">
      <c r="B116" s="35" t="s">
        <v>133</v>
      </c>
      <c r="C116" s="46" t="n">
        <f aca="false">'2023'!C98+'2023'!C105+'2023'!C112</f>
        <v>0</v>
      </c>
      <c r="D116" s="46" t="n">
        <f aca="false">'2023'!D98+'2023'!D105+'2023'!D112</f>
        <v>0</v>
      </c>
      <c r="E116" s="46" t="n">
        <f aca="false">'2023'!E98+'2023'!E105+'2023'!E112</f>
        <v>0</v>
      </c>
      <c r="F116" s="46" t="n">
        <f aca="false">'2023'!F98+'2023'!F105+'2023'!F112</f>
        <v>0</v>
      </c>
      <c r="G116" s="46" t="n">
        <f aca="false">'2023'!G98+'2023'!G105+'2023'!G112</f>
        <v>0</v>
      </c>
      <c r="H116" s="44" t="n">
        <f aca="false">SUM(C116:G116)</f>
        <v>0</v>
      </c>
    </row>
    <row r="117" customFormat="false" ht="15.75" hidden="false" customHeight="true" outlineLevel="0" collapsed="false">
      <c r="B117" s="4" t="s">
        <v>134</v>
      </c>
      <c r="C117" s="21" t="n">
        <f aca="false">C115-C116</f>
        <v>0</v>
      </c>
      <c r="D117" s="21" t="n">
        <f aca="false">D115-D116</f>
        <v>0</v>
      </c>
      <c r="E117" s="21" t="n">
        <f aca="false">E115-E116</f>
        <v>0</v>
      </c>
      <c r="F117" s="21" t="n">
        <f aca="false">F115-F116</f>
        <v>0</v>
      </c>
      <c r="G117" s="21" t="n">
        <f aca="false">G115-G116</f>
        <v>0</v>
      </c>
      <c r="H117" s="44" t="n">
        <f aca="false">SUM(C117:G117)</f>
        <v>0</v>
      </c>
    </row>
  </sheetData>
  <sheetProtection sheet="true" password="c466"/>
  <mergeCells count="27">
    <mergeCell ref="A1:H1"/>
    <mergeCell ref="B2:H2"/>
    <mergeCell ref="B4:H4"/>
    <mergeCell ref="B5:H5"/>
    <mergeCell ref="B13:H13"/>
    <mergeCell ref="B14:H14"/>
    <mergeCell ref="B18:H18"/>
    <mergeCell ref="B21:H21"/>
    <mergeCell ref="B33:H33"/>
    <mergeCell ref="B36:H36"/>
    <mergeCell ref="B39:H39"/>
    <mergeCell ref="B52:H52"/>
    <mergeCell ref="B55:H55"/>
    <mergeCell ref="B61:H61"/>
    <mergeCell ref="B62:H62"/>
    <mergeCell ref="B66:H66"/>
    <mergeCell ref="B74:H74"/>
    <mergeCell ref="B83:H83"/>
    <mergeCell ref="B89:H89"/>
    <mergeCell ref="B90:H90"/>
    <mergeCell ref="B93:H93"/>
    <mergeCell ref="D94:G94"/>
    <mergeCell ref="B100:H100"/>
    <mergeCell ref="D101:G101"/>
    <mergeCell ref="B107:H107"/>
    <mergeCell ref="D108:G108"/>
    <mergeCell ref="B114:H114"/>
  </mergeCells>
  <dataValidations count="2">
    <dataValidation allowBlank="true" error="Enter 0-1 (e.g. 0.20 = 20%)" errorStyle="stop" operator="between" showDropDown="false" showErrorMessage="false" showInputMessage="false" sqref="C9:G11" type="decimal">
      <formula1>0</formula1>
      <formula2>1</formula2>
    </dataValidation>
    <dataValidation allowBlank="false" errorStyle="stop" operator="between" showDropDown="false" showErrorMessage="false" showInputMessage="false" sqref="C8:G8" type="list">
      <formula1>"Active,Closed-Out,New-Transferee"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7" min="3" style="0" width="16"/>
    <col collapsed="false" customWidth="true" hidden="false" outlineLevel="0" max="8" min="8" style="0" width="15"/>
  </cols>
  <sheetData>
    <row r="1" customFormat="false" ht="27.75" hidden="false" customHeight="true" outlineLevel="0" collapsed="false">
      <c r="A1" s="11" t="s">
        <v>165</v>
      </c>
      <c r="B1" s="11"/>
      <c r="C1" s="11"/>
      <c r="D1" s="11"/>
      <c r="E1" s="11"/>
      <c r="F1" s="11"/>
      <c r="G1" s="11"/>
      <c r="H1" s="11"/>
    </row>
    <row r="2" customFormat="false" ht="18" hidden="false" customHeight="true" outlineLevel="0" collapsed="false">
      <c r="B2" s="2" t="s">
        <v>35</v>
      </c>
      <c r="C2" s="2"/>
      <c r="D2" s="2"/>
      <c r="E2" s="2"/>
      <c r="F2" s="2"/>
      <c r="G2" s="2"/>
      <c r="H2" s="2"/>
    </row>
    <row r="3" customFormat="false" ht="3.75" hidden="false" customHeight="true" outlineLevel="0" collapsed="false"/>
    <row r="4" customFormat="false" ht="15" hidden="false" customHeight="false" outlineLevel="0" collapsed="false">
      <c r="B4" s="3" t="s">
        <v>166</v>
      </c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B5" s="2" t="s">
        <v>37</v>
      </c>
      <c r="C5" s="2"/>
      <c r="D5" s="2"/>
      <c r="E5" s="2"/>
      <c r="F5" s="2"/>
      <c r="G5" s="2"/>
      <c r="H5" s="2"/>
    </row>
    <row r="6" customFormat="false" ht="30" hidden="false" customHeight="true" outlineLevel="0" collapsed="false">
      <c r="B6" s="12" t="s">
        <v>38</v>
      </c>
      <c r="C6" s="13" t="s">
        <v>25</v>
      </c>
      <c r="D6" s="13" t="s">
        <v>27</v>
      </c>
      <c r="E6" s="13" t="s">
        <v>29</v>
      </c>
      <c r="F6" s="13" t="s">
        <v>30</v>
      </c>
      <c r="G6" s="13" t="s">
        <v>32</v>
      </c>
      <c r="H6" s="13" t="s">
        <v>39</v>
      </c>
    </row>
    <row r="7" customFormat="false" ht="15" hidden="false" customHeight="false" outlineLevel="0" collapsed="false">
      <c r="B7" s="4" t="s">
        <v>18</v>
      </c>
      <c r="C7" s="7" t="s">
        <v>26</v>
      </c>
      <c r="D7" s="7" t="s">
        <v>28</v>
      </c>
      <c r="E7" s="7" t="s">
        <v>28</v>
      </c>
      <c r="F7" s="7" t="s">
        <v>31</v>
      </c>
      <c r="G7" s="7" t="s">
        <v>31</v>
      </c>
    </row>
    <row r="8" customFormat="false" ht="15" hidden="false" customHeight="false" outlineLevel="0" collapsed="false">
      <c r="B8" s="4" t="s">
        <v>40</v>
      </c>
      <c r="C8" s="14" t="s">
        <v>41</v>
      </c>
      <c r="D8" s="14" t="s">
        <v>41</v>
      </c>
      <c r="E8" s="14" t="s">
        <v>41</v>
      </c>
      <c r="F8" s="14" t="s">
        <v>41</v>
      </c>
      <c r="G8" s="14" t="s">
        <v>41</v>
      </c>
    </row>
    <row r="9" customFormat="false" ht="15" hidden="false" customHeight="false" outlineLevel="0" collapsed="false">
      <c r="B9" s="4" t="s">
        <v>42</v>
      </c>
      <c r="C9" s="15" t="n">
        <v>0.2</v>
      </c>
      <c r="D9" s="15" t="n">
        <v>0.2</v>
      </c>
      <c r="E9" s="15" t="n">
        <v>0.2</v>
      </c>
      <c r="F9" s="15" t="n">
        <v>0.2</v>
      </c>
      <c r="G9" s="15" t="n">
        <v>0.2</v>
      </c>
      <c r="H9" s="16" t="str">
        <f aca="false">IF(ABS(SUM(C9:G9)-1)&lt;0.0001,TEXT(SUM(C9:G9),"0.0%")&amp;" ✓",TEXT(SUM(C9:G9),"0.0%")&amp;" ⚠")</f>
        <v>100.0% ✓</v>
      </c>
    </row>
    <row r="10" customFormat="false" ht="15" hidden="false" customHeight="false" outlineLevel="0" collapsed="false">
      <c r="B10" s="4" t="s">
        <v>43</v>
      </c>
      <c r="C10" s="15" t="n">
        <v>0.2</v>
      </c>
      <c r="D10" s="15" t="n">
        <v>0.2</v>
      </c>
      <c r="E10" s="15" t="n">
        <v>0.2</v>
      </c>
      <c r="F10" s="15" t="n">
        <v>0.2</v>
      </c>
      <c r="G10" s="15" t="n">
        <v>0.2</v>
      </c>
      <c r="H10" s="16" t="str">
        <f aca="false">IF(ABS(SUM(C10:G10)-1)&lt;0.0001,TEXT(SUM(C10:G10),"0.0%")&amp;" ✓",TEXT(SUM(C10:G10),"0.0%")&amp;" ⚠")</f>
        <v>100.0% ✓</v>
      </c>
    </row>
    <row r="11" customFormat="false" ht="15" hidden="false" customHeight="false" outlineLevel="0" collapsed="false">
      <c r="B11" s="4" t="s">
        <v>44</v>
      </c>
      <c r="C11" s="15" t="n">
        <v>0.2</v>
      </c>
      <c r="D11" s="15" t="n">
        <v>0.2</v>
      </c>
      <c r="E11" s="15" t="n">
        <v>0.2</v>
      </c>
      <c r="F11" s="15" t="n">
        <v>0.2</v>
      </c>
      <c r="G11" s="15" t="n">
        <v>0.2</v>
      </c>
      <c r="H11" s="16" t="str">
        <f aca="false">IF(ABS(SUM(C11:G11)-1)&lt;0.0001,TEXT(SUM(C11:G11),"0.0%")&amp;" ✓",TEXT(SUM(C11:G11),"0.0%")&amp;" ⚠")</f>
        <v>100.0% ✓</v>
      </c>
    </row>
    <row r="12" customFormat="false" ht="3.75" hidden="false" customHeight="true" outlineLevel="0" collapsed="false"/>
    <row r="13" customFormat="false" ht="15" hidden="false" customHeight="false" outlineLevel="0" collapsed="false">
      <c r="B13" s="17" t="s">
        <v>167</v>
      </c>
      <c r="C13" s="17"/>
      <c r="D13" s="17"/>
      <c r="E13" s="17"/>
      <c r="F13" s="17"/>
      <c r="G13" s="17"/>
      <c r="H13" s="17"/>
    </row>
    <row r="14" customFormat="false" ht="19.5" hidden="false" customHeight="true" outlineLevel="0" collapsed="false">
      <c r="B14" s="18" t="s">
        <v>46</v>
      </c>
      <c r="C14" s="18"/>
      <c r="D14" s="18"/>
      <c r="E14" s="18"/>
      <c r="F14" s="18"/>
      <c r="G14" s="18"/>
      <c r="H14" s="18"/>
    </row>
    <row r="15" customFormat="false" ht="33.75" hidden="false" customHeight="true" outlineLevel="0" collapsed="false">
      <c r="B15" s="12" t="s">
        <v>47</v>
      </c>
      <c r="C15" s="13" t="s">
        <v>25</v>
      </c>
      <c r="D15" s="13" t="s">
        <v>27</v>
      </c>
      <c r="E15" s="13" t="s">
        <v>29</v>
      </c>
      <c r="F15" s="13" t="s">
        <v>30</v>
      </c>
      <c r="G15" s="13" t="s">
        <v>32</v>
      </c>
      <c r="H15" s="13" t="s">
        <v>48</v>
      </c>
    </row>
    <row r="16" customFormat="false" ht="3.75" hidden="false" customHeight="true" outlineLevel="0" collapsed="false"/>
    <row r="17" customFormat="false" ht="15" hidden="false" customHeight="false" outlineLevel="0" collapsed="false">
      <c r="B17" s="19" t="s">
        <v>49</v>
      </c>
      <c r="C17" s="20" t="n">
        <f aca="false">'2024'!C59</f>
        <v>0</v>
      </c>
      <c r="D17" s="20" t="n">
        <f aca="false">'2024'!D59</f>
        <v>0</v>
      </c>
      <c r="E17" s="20" t="n">
        <f aca="false">'2024'!E59</f>
        <v>0</v>
      </c>
      <c r="F17" s="20" t="n">
        <f aca="false">'2024'!F59</f>
        <v>0</v>
      </c>
      <c r="G17" s="20" t="n">
        <f aca="false">'2024'!G59</f>
        <v>0</v>
      </c>
      <c r="H17" s="21" t="n">
        <f aca="false">SUM(C17:G17)</f>
        <v>0</v>
      </c>
    </row>
    <row r="18" customFormat="false" ht="13.5" hidden="false" customHeight="true" outlineLevel="0" collapsed="false">
      <c r="B18" s="17" t="s">
        <v>50</v>
      </c>
      <c r="C18" s="17"/>
      <c r="D18" s="17"/>
      <c r="E18" s="17"/>
      <c r="F18" s="17"/>
      <c r="G18" s="17"/>
      <c r="H18" s="17"/>
    </row>
    <row r="19" customFormat="false" ht="15" hidden="false" customHeight="false" outlineLevel="0" collapsed="false">
      <c r="B19" s="8" t="s">
        <v>51</v>
      </c>
      <c r="C19" s="22" t="n">
        <v>0</v>
      </c>
      <c r="D19" s="22" t="n">
        <v>0</v>
      </c>
      <c r="E19" s="22" t="n">
        <v>0</v>
      </c>
      <c r="F19" s="22" t="n">
        <v>0</v>
      </c>
      <c r="G19" s="22" t="n">
        <v>0</v>
      </c>
      <c r="H19" s="23" t="n">
        <f aca="false">SUM(C19:G19)</f>
        <v>0</v>
      </c>
    </row>
    <row r="20" customFormat="false" ht="15" hidden="false" customHeight="false" outlineLevel="0" collapsed="false">
      <c r="B20" s="8" t="s">
        <v>52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3" t="n">
        <f aca="false">SUM(C20:G20)</f>
        <v>0</v>
      </c>
    </row>
    <row r="21" customFormat="false" ht="13.5" hidden="false" customHeight="true" outlineLevel="0" collapsed="false">
      <c r="B21" s="25" t="s">
        <v>53</v>
      </c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B22" s="8" t="s">
        <v>54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3" t="n">
        <f aca="false">SUM(C22:G22)</f>
        <v>0</v>
      </c>
    </row>
    <row r="23" customFormat="false" ht="15" hidden="false" customHeight="false" outlineLevel="0" collapsed="false">
      <c r="B23" s="8" t="s">
        <v>55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3" t="n">
        <f aca="false">SUM(C23:G23)</f>
        <v>0</v>
      </c>
    </row>
    <row r="24" customFormat="false" ht="15" hidden="false" customHeight="false" outlineLevel="0" collapsed="false">
      <c r="B24" s="8" t="s">
        <v>56</v>
      </c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0</v>
      </c>
      <c r="H24" s="23" t="n">
        <f aca="false">SUM(C24:G24)</f>
        <v>0</v>
      </c>
    </row>
    <row r="25" customFormat="false" ht="15" hidden="false" customHeight="false" outlineLevel="0" collapsed="false">
      <c r="B25" s="8" t="s">
        <v>57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3" t="n">
        <f aca="false">SUM(C25:G25)</f>
        <v>0</v>
      </c>
    </row>
    <row r="26" customFormat="false" ht="15" hidden="false" customHeight="false" outlineLevel="0" collapsed="false">
      <c r="B26" s="8" t="s">
        <v>58</v>
      </c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3" t="n">
        <f aca="false">SUM(C26:G26)</f>
        <v>0</v>
      </c>
    </row>
    <row r="27" customFormat="false" ht="15" hidden="false" customHeight="false" outlineLevel="0" collapsed="false">
      <c r="B27" s="8" t="s">
        <v>59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3" t="n">
        <f aca="false">SUM(C27:G27)</f>
        <v>0</v>
      </c>
    </row>
    <row r="28" customFormat="false" ht="15" hidden="false" customHeight="false" outlineLevel="0" collapsed="false">
      <c r="B28" s="8" t="s">
        <v>60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3" t="n">
        <f aca="false">SUM(C28:G28)</f>
        <v>0</v>
      </c>
    </row>
    <row r="29" customFormat="false" ht="15" hidden="false" customHeight="false" outlineLevel="0" collapsed="false">
      <c r="B29" s="8" t="s">
        <v>61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3" t="n">
        <f aca="false">SUM(C29:G29)</f>
        <v>0</v>
      </c>
    </row>
    <row r="30" customFormat="false" ht="15" hidden="false" customHeight="false" outlineLevel="0" collapsed="false">
      <c r="B30" s="8" t="s">
        <v>62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3" t="n">
        <f aca="false">SUM(C30:G30)</f>
        <v>0</v>
      </c>
    </row>
    <row r="31" customFormat="false" ht="15" hidden="false" customHeight="false" outlineLevel="0" collapsed="false">
      <c r="B31" s="8" t="s">
        <v>63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3" t="n">
        <f aca="false">SUM(C31:G31)</f>
        <v>0</v>
      </c>
    </row>
    <row r="32" customFormat="false" ht="15" hidden="false" customHeight="false" outlineLevel="0" collapsed="false">
      <c r="B32" s="26" t="s">
        <v>64</v>
      </c>
      <c r="C32" s="27" t="n">
        <f aca="false">SUM(C22:C31)</f>
        <v>0</v>
      </c>
      <c r="D32" s="27" t="n">
        <f aca="false">SUM(D22:D31)</f>
        <v>0</v>
      </c>
      <c r="E32" s="27" t="n">
        <f aca="false">SUM(E22:E31)</f>
        <v>0</v>
      </c>
      <c r="F32" s="27" t="n">
        <f aca="false">SUM(F22:F31)</f>
        <v>0</v>
      </c>
      <c r="G32" s="27" t="n">
        <f aca="false">SUM(G22:G31)</f>
        <v>0</v>
      </c>
      <c r="H32" s="21" t="n">
        <f aca="false">SUM(C32:G32)</f>
        <v>0</v>
      </c>
    </row>
    <row r="33" customFormat="false" ht="13.5" hidden="false" customHeight="true" outlineLevel="0" collapsed="false">
      <c r="B33" s="25" t="s">
        <v>65</v>
      </c>
      <c r="C33" s="25"/>
      <c r="D33" s="25"/>
      <c r="E33" s="25"/>
      <c r="F33" s="25"/>
      <c r="G33" s="25"/>
      <c r="H33" s="25"/>
    </row>
    <row r="34" customFormat="false" ht="15" hidden="false" customHeight="false" outlineLevel="0" collapsed="false">
      <c r="B34" s="28" t="s">
        <v>66</v>
      </c>
      <c r="C34" s="29" t="n">
        <f aca="false">MAX(0,C117)</f>
        <v>0</v>
      </c>
      <c r="D34" s="29" t="n">
        <f aca="false">MAX(0,D117)</f>
        <v>0</v>
      </c>
      <c r="E34" s="29" t="n">
        <f aca="false">MAX(0,E117)</f>
        <v>0</v>
      </c>
      <c r="F34" s="29" t="n">
        <f aca="false">MAX(0,F117)</f>
        <v>0</v>
      </c>
      <c r="G34" s="29" t="n">
        <f aca="false">MAX(0,G117)</f>
        <v>0</v>
      </c>
      <c r="H34" s="23" t="n">
        <f aca="false">SUM(C34:G34)</f>
        <v>0</v>
      </c>
    </row>
    <row r="35" customFormat="false" ht="15" hidden="false" customHeight="false" outlineLevel="0" collapsed="false">
      <c r="B35" s="26" t="s">
        <v>67</v>
      </c>
      <c r="C35" s="27" t="n">
        <f aca="false">C19+C20+C32+C34</f>
        <v>0</v>
      </c>
      <c r="D35" s="27" t="n">
        <f aca="false">D19+D20+D32+D34</f>
        <v>0</v>
      </c>
      <c r="E35" s="27" t="n">
        <f aca="false">E19+E20+E32+E34</f>
        <v>0</v>
      </c>
      <c r="F35" s="27" t="n">
        <f aca="false">F19+F20+F32+F34</f>
        <v>0</v>
      </c>
      <c r="G35" s="27" t="n">
        <f aca="false">G19+G20+G32+G34</f>
        <v>0</v>
      </c>
      <c r="H35" s="21" t="n">
        <f aca="false">SUM(C35:G35)</f>
        <v>0</v>
      </c>
    </row>
    <row r="36" customFormat="false" ht="13.5" hidden="false" customHeight="true" outlineLevel="0" collapsed="false">
      <c r="B36" s="30" t="s">
        <v>68</v>
      </c>
      <c r="C36" s="30"/>
      <c r="D36" s="30"/>
      <c r="E36" s="30"/>
      <c r="F36" s="30"/>
      <c r="G36" s="30"/>
      <c r="H36" s="30"/>
    </row>
    <row r="37" customFormat="false" ht="15" hidden="false" customHeight="false" outlineLevel="0" collapsed="false">
      <c r="B37" s="8" t="s">
        <v>69</v>
      </c>
      <c r="C37" s="22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3" t="n">
        <f aca="false">SUM(C37:G37)</f>
        <v>0</v>
      </c>
    </row>
    <row r="38" customFormat="false" ht="15" hidden="false" customHeight="false" outlineLevel="0" collapsed="false">
      <c r="B38" s="8" t="s">
        <v>70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3" t="n">
        <f aca="false">SUM(C38:G38)</f>
        <v>0</v>
      </c>
    </row>
    <row r="39" customFormat="false" ht="13.5" hidden="false" customHeight="true" outlineLevel="0" collapsed="false">
      <c r="B39" s="31" t="s">
        <v>71</v>
      </c>
      <c r="C39" s="31"/>
      <c r="D39" s="31"/>
      <c r="E39" s="31"/>
      <c r="F39" s="31"/>
      <c r="G39" s="31"/>
      <c r="H39" s="31"/>
    </row>
    <row r="40" customFormat="false" ht="15" hidden="false" customHeight="false" outlineLevel="0" collapsed="false">
      <c r="B40" s="8" t="s">
        <v>72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3" t="n">
        <f aca="false">SUM(C40:G40)</f>
        <v>0</v>
      </c>
    </row>
    <row r="41" customFormat="false" ht="15" hidden="false" customHeight="false" outlineLevel="0" collapsed="false">
      <c r="B41" s="8" t="s">
        <v>73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3" t="n">
        <f aca="false">SUM(C41:G41)</f>
        <v>0</v>
      </c>
    </row>
    <row r="42" customFormat="false" ht="15" hidden="false" customHeight="false" outlineLevel="0" collapsed="false">
      <c r="B42" s="8" t="s">
        <v>74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3" t="n">
        <f aca="false">SUM(C42:G42)</f>
        <v>0</v>
      </c>
    </row>
    <row r="43" customFormat="false" ht="15" hidden="false" customHeight="false" outlineLevel="0" collapsed="false">
      <c r="B43" s="8" t="s">
        <v>75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3" t="n">
        <f aca="false">SUM(C43:G43)</f>
        <v>0</v>
      </c>
    </row>
    <row r="44" customFormat="false" ht="15" hidden="false" customHeight="false" outlineLevel="0" collapsed="false">
      <c r="B44" s="8" t="s">
        <v>76</v>
      </c>
      <c r="C44" s="22" t="n">
        <v>0</v>
      </c>
      <c r="D44" s="22" t="n">
        <v>0</v>
      </c>
      <c r="E44" s="22" t="n">
        <v>0</v>
      </c>
      <c r="F44" s="22" t="n">
        <v>0</v>
      </c>
      <c r="G44" s="22" t="n">
        <v>0</v>
      </c>
      <c r="H44" s="23" t="n">
        <f aca="false">SUM(C44:G44)</f>
        <v>0</v>
      </c>
    </row>
    <row r="45" customFormat="false" ht="15" hidden="false" customHeight="false" outlineLevel="0" collapsed="false">
      <c r="B45" s="8" t="s">
        <v>77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3" t="n">
        <f aca="false">SUM(C45:G45)</f>
        <v>0</v>
      </c>
    </row>
    <row r="46" customFormat="false" ht="15" hidden="false" customHeight="false" outlineLevel="0" collapsed="false">
      <c r="B46" s="8" t="s">
        <v>78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3" t="n">
        <f aca="false">SUM(C46:G46)</f>
        <v>0</v>
      </c>
    </row>
    <row r="47" customFormat="false" ht="15" hidden="false" customHeight="false" outlineLevel="0" collapsed="false">
      <c r="B47" s="8" t="s">
        <v>79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3" t="n">
        <f aca="false">SUM(C47:G47)</f>
        <v>0</v>
      </c>
    </row>
    <row r="48" customFormat="false" ht="15" hidden="false" customHeight="false" outlineLevel="0" collapsed="false">
      <c r="B48" s="8" t="s">
        <v>80</v>
      </c>
      <c r="C48" s="22" t="n">
        <v>0</v>
      </c>
      <c r="D48" s="22" t="n">
        <v>0</v>
      </c>
      <c r="E48" s="22" t="n">
        <v>0</v>
      </c>
      <c r="F48" s="22" t="n">
        <v>0</v>
      </c>
      <c r="G48" s="22" t="n">
        <v>0</v>
      </c>
      <c r="H48" s="23" t="n">
        <f aca="false">SUM(C48:G48)</f>
        <v>0</v>
      </c>
    </row>
    <row r="49" customFormat="false" ht="15" hidden="false" customHeight="false" outlineLevel="0" collapsed="false">
      <c r="B49" s="8" t="s">
        <v>81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3" t="n">
        <f aca="false">SUM(C49:G49)</f>
        <v>0</v>
      </c>
    </row>
    <row r="50" customFormat="false" ht="15" hidden="false" customHeight="false" outlineLevel="0" collapsed="false">
      <c r="B50" s="8" t="s">
        <v>82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3" t="n">
        <f aca="false">SUM(C50:G50)</f>
        <v>0</v>
      </c>
    </row>
    <row r="51" customFormat="false" ht="15" hidden="false" customHeight="false" outlineLevel="0" collapsed="false">
      <c r="B51" s="32" t="s">
        <v>83</v>
      </c>
      <c r="C51" s="27" t="n">
        <f aca="false">SUM(C40:C50)</f>
        <v>0</v>
      </c>
      <c r="D51" s="27" t="n">
        <f aca="false">SUM(D40:D50)</f>
        <v>0</v>
      </c>
      <c r="E51" s="27" t="n">
        <f aca="false">SUM(E40:E50)</f>
        <v>0</v>
      </c>
      <c r="F51" s="27" t="n">
        <f aca="false">SUM(F40:F50)</f>
        <v>0</v>
      </c>
      <c r="G51" s="27" t="n">
        <f aca="false">SUM(G40:G50)</f>
        <v>0</v>
      </c>
      <c r="H51" s="21" t="n">
        <f aca="false">SUM(C51:G51)</f>
        <v>0</v>
      </c>
    </row>
    <row r="52" customFormat="false" ht="13.5" hidden="false" customHeight="true" outlineLevel="0" collapsed="false">
      <c r="B52" s="31" t="s">
        <v>84</v>
      </c>
      <c r="C52" s="31"/>
      <c r="D52" s="31"/>
      <c r="E52" s="31"/>
      <c r="F52" s="31"/>
      <c r="G52" s="31"/>
      <c r="H52" s="31"/>
    </row>
    <row r="53" customFormat="false" ht="15" hidden="false" customHeight="false" outlineLevel="0" collapsed="false">
      <c r="B53" s="28" t="s">
        <v>85</v>
      </c>
      <c r="C53" s="29" t="n">
        <f aca="false">MAX(0,-C117)</f>
        <v>-0</v>
      </c>
      <c r="D53" s="29" t="n">
        <f aca="false">MAX(0,-D117)</f>
        <v>-0</v>
      </c>
      <c r="E53" s="29" t="n">
        <f aca="false">MAX(0,-E117)</f>
        <v>-0</v>
      </c>
      <c r="F53" s="29" t="n">
        <f aca="false">MAX(0,-F117)</f>
        <v>-0</v>
      </c>
      <c r="G53" s="29" t="n">
        <f aca="false">MAX(0,-G117)</f>
        <v>-0</v>
      </c>
      <c r="H53" s="23" t="n">
        <f aca="false">SUM(C53:G53)</f>
        <v>0</v>
      </c>
    </row>
    <row r="54" customFormat="false" ht="15" hidden="false" customHeight="false" outlineLevel="0" collapsed="false">
      <c r="B54" s="32" t="s">
        <v>86</v>
      </c>
      <c r="C54" s="27" t="n">
        <f aca="false">C37+C38+C51+C53</f>
        <v>0</v>
      </c>
      <c r="D54" s="27" t="n">
        <f aca="false">D37+D38+D51+D53</f>
        <v>0</v>
      </c>
      <c r="E54" s="27" t="n">
        <f aca="false">E37+E38+E51+E53</f>
        <v>0</v>
      </c>
      <c r="F54" s="27" t="n">
        <f aca="false">F37+F38+F51+F53</f>
        <v>0</v>
      </c>
      <c r="G54" s="27" t="n">
        <f aca="false">G37+G38+G51+G53</f>
        <v>0</v>
      </c>
      <c r="H54" s="21" t="n">
        <f aca="false">SUM(C54:G54)</f>
        <v>0</v>
      </c>
    </row>
    <row r="55" customFormat="false" ht="13.5" hidden="false" customHeight="true" outlineLevel="0" collapsed="false">
      <c r="B55" s="33" t="s">
        <v>87</v>
      </c>
      <c r="C55" s="33"/>
      <c r="D55" s="33"/>
      <c r="E55" s="33"/>
      <c r="F55" s="33"/>
      <c r="G55" s="33"/>
      <c r="H55" s="33"/>
    </row>
    <row r="56" customFormat="false" ht="15" hidden="false" customHeight="false" outlineLevel="0" collapsed="false">
      <c r="B56" s="34" t="s">
        <v>88</v>
      </c>
      <c r="C56" s="29" t="n">
        <f aca="false">C17+C35-C54</f>
        <v>0</v>
      </c>
      <c r="D56" s="29" t="n">
        <f aca="false">D17+D35-D54</f>
        <v>0</v>
      </c>
      <c r="E56" s="29" t="n">
        <f aca="false">E17+E35-E54</f>
        <v>0</v>
      </c>
      <c r="F56" s="29" t="n">
        <f aca="false">F17+F35-F54</f>
        <v>0</v>
      </c>
      <c r="G56" s="29" t="n">
        <f aca="false">G17+G35-G54</f>
        <v>0</v>
      </c>
      <c r="H56" s="23" t="n">
        <f aca="false">SUM(C56:G56)</f>
        <v>0</v>
      </c>
    </row>
    <row r="57" customFormat="false" ht="15" hidden="false" customHeight="false" outlineLevel="0" collapsed="false">
      <c r="B57" s="35" t="s">
        <v>89</v>
      </c>
      <c r="C57" s="29" t="n">
        <f aca="false">MAX(0,-C56)</f>
        <v>-0</v>
      </c>
      <c r="D57" s="29" t="n">
        <f aca="false">MAX(0,-D56)</f>
        <v>-0</v>
      </c>
      <c r="E57" s="29" t="n">
        <f aca="false">MAX(0,-E56)</f>
        <v>-0</v>
      </c>
      <c r="F57" s="29" t="n">
        <f aca="false">MAX(0,-F56)</f>
        <v>-0</v>
      </c>
      <c r="G57" s="29" t="n">
        <f aca="false">MAX(0,-G56)</f>
        <v>-0</v>
      </c>
      <c r="H57" s="23" t="n">
        <f aca="false">SUM(C57:G57)</f>
        <v>0</v>
      </c>
    </row>
    <row r="58" customFormat="false" ht="15" hidden="false" customHeight="false" outlineLevel="0" collapsed="false">
      <c r="B58" s="28" t="s">
        <v>168</v>
      </c>
      <c r="C58" s="39" t="n">
        <f aca="false">MIN('2024'!C57,MAX(0,C56))</f>
        <v>0</v>
      </c>
      <c r="D58" s="39" t="n">
        <f aca="false">MIN('2024'!D57,MAX(0,D56))</f>
        <v>0</v>
      </c>
      <c r="E58" s="39" t="n">
        <f aca="false">MIN('2024'!E57,MAX(0,E56))</f>
        <v>0</v>
      </c>
      <c r="F58" s="39" t="n">
        <f aca="false">MIN('2024'!F57,MAX(0,F56))</f>
        <v>0</v>
      </c>
      <c r="G58" s="39" t="n">
        <f aca="false">MIN('2024'!G57,MAX(0,G56))</f>
        <v>0</v>
      </c>
      <c r="H58" s="23" t="n">
        <f aca="false">SUM(C58:G58)</f>
        <v>0</v>
      </c>
    </row>
    <row r="59" customFormat="false" ht="18" hidden="false" customHeight="true" outlineLevel="0" collapsed="false">
      <c r="B59" s="36" t="s">
        <v>169</v>
      </c>
      <c r="C59" s="27" t="n">
        <f aca="false">MAX(0,C56)-C58</f>
        <v>0</v>
      </c>
      <c r="D59" s="27" t="n">
        <f aca="false">MAX(0,D56)-D58</f>
        <v>0</v>
      </c>
      <c r="E59" s="27" t="n">
        <f aca="false">MAX(0,E56)-E58</f>
        <v>0</v>
      </c>
      <c r="F59" s="27" t="n">
        <f aca="false">MAX(0,F56)-F58</f>
        <v>0</v>
      </c>
      <c r="G59" s="27" t="n">
        <f aca="false">MAX(0,G56)-G58</f>
        <v>0</v>
      </c>
      <c r="H59" s="21" t="n">
        <f aca="false">SUM(C59:G59)</f>
        <v>0</v>
      </c>
    </row>
    <row r="60" customFormat="false" ht="3.75" hidden="false" customHeight="true" outlineLevel="0" collapsed="false"/>
    <row r="61" customFormat="false" ht="15" hidden="false" customHeight="false" outlineLevel="0" collapsed="false">
      <c r="B61" s="37" t="s">
        <v>170</v>
      </c>
      <c r="C61" s="37"/>
      <c r="D61" s="37"/>
      <c r="E61" s="37"/>
      <c r="F61" s="37"/>
      <c r="G61" s="37"/>
      <c r="H61" s="37"/>
    </row>
    <row r="62" customFormat="false" ht="19.5" hidden="false" customHeight="true" outlineLevel="0" collapsed="false">
      <c r="B62" s="38" t="s">
        <v>93</v>
      </c>
      <c r="C62" s="38"/>
      <c r="D62" s="38"/>
      <c r="E62" s="38"/>
      <c r="F62" s="38"/>
      <c r="G62" s="38"/>
      <c r="H62" s="38"/>
    </row>
    <row r="63" customFormat="false" ht="33.75" hidden="false" customHeight="true" outlineLevel="0" collapsed="false">
      <c r="B63" s="12" t="s">
        <v>94</v>
      </c>
      <c r="C63" s="13" t="s">
        <v>25</v>
      </c>
      <c r="D63" s="13" t="s">
        <v>27</v>
      </c>
      <c r="E63" s="13" t="s">
        <v>29</v>
      </c>
      <c r="F63" s="13" t="s">
        <v>30</v>
      </c>
      <c r="G63" s="13" t="s">
        <v>32</v>
      </c>
      <c r="H63" s="12" t="s">
        <v>48</v>
      </c>
    </row>
    <row r="64" customFormat="false" ht="3.75" hidden="false" customHeight="true" outlineLevel="0" collapsed="false"/>
    <row r="65" customFormat="false" ht="15" hidden="false" customHeight="false" outlineLevel="0" collapsed="false">
      <c r="B65" s="19" t="s">
        <v>95</v>
      </c>
      <c r="C65" s="20" t="n">
        <f aca="false">'2024'!C86</f>
        <v>0</v>
      </c>
      <c r="D65" s="20" t="n">
        <f aca="false">'2024'!D86</f>
        <v>0</v>
      </c>
      <c r="E65" s="20" t="n">
        <f aca="false">'2024'!E86</f>
        <v>0</v>
      </c>
      <c r="F65" s="20" t="n">
        <f aca="false">'2024'!F86</f>
        <v>0</v>
      </c>
      <c r="G65" s="20" t="n">
        <f aca="false">'2024'!G86</f>
        <v>0</v>
      </c>
      <c r="H65" s="21" t="n">
        <f aca="false">SUM(C65:G65)</f>
        <v>0</v>
      </c>
    </row>
    <row r="66" customFormat="false" ht="13.5" hidden="false" customHeight="true" outlineLevel="0" collapsed="false">
      <c r="B66" s="17" t="s">
        <v>96</v>
      </c>
      <c r="C66" s="17"/>
      <c r="D66" s="17"/>
      <c r="E66" s="17"/>
      <c r="F66" s="17"/>
      <c r="G66" s="17"/>
      <c r="H66" s="17"/>
    </row>
    <row r="67" customFormat="false" ht="15" hidden="false" customHeight="false" outlineLevel="0" collapsed="false">
      <c r="B67" s="35" t="s">
        <v>97</v>
      </c>
      <c r="C67" s="29" t="n">
        <f aca="false">C19</f>
        <v>0</v>
      </c>
      <c r="D67" s="29" t="n">
        <f aca="false">D19</f>
        <v>0</v>
      </c>
      <c r="E67" s="29" t="n">
        <f aca="false">E19</f>
        <v>0</v>
      </c>
      <c r="F67" s="29" t="n">
        <f aca="false">F19</f>
        <v>0</v>
      </c>
      <c r="G67" s="29" t="n">
        <f aca="false">G19</f>
        <v>0</v>
      </c>
      <c r="H67" s="23" t="n">
        <f aca="false">SUM(C67:G67)</f>
        <v>0</v>
      </c>
    </row>
    <row r="68" customFormat="false" ht="15" hidden="false" customHeight="false" outlineLevel="0" collapsed="false">
      <c r="B68" s="35" t="s">
        <v>98</v>
      </c>
      <c r="C68" s="29" t="n">
        <f aca="false">C20</f>
        <v>0</v>
      </c>
      <c r="D68" s="29" t="n">
        <f aca="false">D20</f>
        <v>0</v>
      </c>
      <c r="E68" s="29" t="n">
        <f aca="false">E20</f>
        <v>0</v>
      </c>
      <c r="F68" s="29" t="n">
        <f aca="false">F20</f>
        <v>0</v>
      </c>
      <c r="G68" s="29" t="n">
        <f aca="false">G20</f>
        <v>0</v>
      </c>
      <c r="H68" s="23" t="n">
        <f aca="false">SUM(C68:G68)</f>
        <v>0</v>
      </c>
    </row>
    <row r="69" customFormat="false" ht="15" hidden="false" customHeight="false" outlineLevel="0" collapsed="false">
      <c r="B69" s="35" t="s">
        <v>99</v>
      </c>
      <c r="C69" s="29" t="n">
        <f aca="false">C96</f>
        <v>0</v>
      </c>
      <c r="D69" s="29" t="n">
        <f aca="false">D96</f>
        <v>0</v>
      </c>
      <c r="E69" s="29" t="n">
        <f aca="false">E96</f>
        <v>0</v>
      </c>
      <c r="F69" s="29" t="n">
        <f aca="false">F96</f>
        <v>0</v>
      </c>
      <c r="G69" s="29" t="n">
        <f aca="false">G96</f>
        <v>0</v>
      </c>
      <c r="H69" s="23" t="n">
        <f aca="false">SUM(C69:G69)</f>
        <v>0</v>
      </c>
    </row>
    <row r="70" customFormat="false" ht="15" hidden="false" customHeight="false" outlineLevel="0" collapsed="false">
      <c r="B70" s="35" t="s">
        <v>100</v>
      </c>
      <c r="C70" s="39" t="n">
        <f aca="false">MAX(0,C112-'2024'!C112)</f>
        <v>0</v>
      </c>
      <c r="D70" s="39" t="n">
        <f aca="false">MAX(0,D112-'2024'!D112)</f>
        <v>0</v>
      </c>
      <c r="E70" s="39" t="n">
        <f aca="false">MAX(0,E112-'2024'!E112)</f>
        <v>0</v>
      </c>
      <c r="F70" s="39" t="n">
        <f aca="false">MAX(0,F112-'2024'!F112)</f>
        <v>0</v>
      </c>
      <c r="G70" s="39" t="n">
        <f aca="false">MAX(0,G112-'2024'!G112)</f>
        <v>0</v>
      </c>
      <c r="H70" s="23" t="n">
        <f aca="false">SUM(C70:G70)</f>
        <v>0</v>
      </c>
    </row>
    <row r="71" customFormat="false" ht="15" hidden="false" customHeight="false" outlineLevel="0" collapsed="false">
      <c r="B71" s="35" t="s">
        <v>101</v>
      </c>
      <c r="C71" s="29" t="n">
        <f aca="false">C32</f>
        <v>0</v>
      </c>
      <c r="D71" s="29" t="n">
        <f aca="false">D32</f>
        <v>0</v>
      </c>
      <c r="E71" s="29" t="n">
        <f aca="false">E32</f>
        <v>0</v>
      </c>
      <c r="F71" s="29" t="n">
        <f aca="false">F32</f>
        <v>0</v>
      </c>
      <c r="G71" s="29" t="n">
        <f aca="false">G32</f>
        <v>0</v>
      </c>
      <c r="H71" s="23" t="n">
        <f aca="false">SUM(C71:G71)</f>
        <v>0</v>
      </c>
    </row>
    <row r="72" customFormat="false" ht="15" hidden="false" customHeight="false" outlineLevel="0" collapsed="false">
      <c r="B72" s="8" t="s">
        <v>102</v>
      </c>
      <c r="C72" s="22" t="n">
        <v>0</v>
      </c>
      <c r="D72" s="22" t="n">
        <v>0</v>
      </c>
      <c r="E72" s="22" t="n">
        <v>0</v>
      </c>
      <c r="F72" s="22" t="n">
        <v>0</v>
      </c>
      <c r="G72" s="22" t="n">
        <v>0</v>
      </c>
      <c r="H72" s="23" t="n">
        <f aca="false">SUM(C72:G72)</f>
        <v>0</v>
      </c>
    </row>
    <row r="73" customFormat="false" ht="15" hidden="false" customHeight="false" outlineLevel="0" collapsed="false">
      <c r="B73" s="26" t="s">
        <v>103</v>
      </c>
      <c r="C73" s="27" t="n">
        <f aca="false">C67+C68+C69+C70+C71+C72</f>
        <v>0</v>
      </c>
      <c r="D73" s="27" t="n">
        <f aca="false">D67+D68+D69+D70+D71+D72</f>
        <v>0</v>
      </c>
      <c r="E73" s="27" t="n">
        <f aca="false">E67+E68+E69+E70+E71+E72</f>
        <v>0</v>
      </c>
      <c r="F73" s="27" t="n">
        <f aca="false">F67+F68+F69+F70+F71+F72</f>
        <v>0</v>
      </c>
      <c r="G73" s="27" t="n">
        <f aca="false">G67+G68+G69+G70+G71+G72</f>
        <v>0</v>
      </c>
      <c r="H73" s="21" t="n">
        <f aca="false">SUM(C73:G73)</f>
        <v>0</v>
      </c>
    </row>
    <row r="74" customFormat="false" ht="13.5" hidden="false" customHeight="true" outlineLevel="0" collapsed="false">
      <c r="B74" s="30" t="s">
        <v>104</v>
      </c>
      <c r="C74" s="30"/>
      <c r="D74" s="30"/>
      <c r="E74" s="30"/>
      <c r="F74" s="30"/>
      <c r="G74" s="30"/>
      <c r="H74" s="30"/>
    </row>
    <row r="75" customFormat="false" ht="15" hidden="false" customHeight="false" outlineLevel="0" collapsed="false">
      <c r="B75" s="35" t="s">
        <v>105</v>
      </c>
      <c r="C75" s="29" t="n">
        <f aca="false">C37</f>
        <v>0</v>
      </c>
      <c r="D75" s="29" t="n">
        <f aca="false">D37</f>
        <v>0</v>
      </c>
      <c r="E75" s="29" t="n">
        <f aca="false">E37</f>
        <v>0</v>
      </c>
      <c r="F75" s="29" t="n">
        <f aca="false">F37</f>
        <v>0</v>
      </c>
      <c r="G75" s="29" t="n">
        <f aca="false">G37</f>
        <v>0</v>
      </c>
      <c r="H75" s="23" t="n">
        <f aca="false">SUM(C75:G75)</f>
        <v>0</v>
      </c>
    </row>
    <row r="76" customFormat="false" ht="15" hidden="false" customHeight="false" outlineLevel="0" collapsed="false">
      <c r="B76" s="35" t="s">
        <v>106</v>
      </c>
      <c r="C76" s="29" t="n">
        <f aca="false">C38</f>
        <v>0</v>
      </c>
      <c r="D76" s="29" t="n">
        <f aca="false">D38</f>
        <v>0</v>
      </c>
      <c r="E76" s="29" t="n">
        <f aca="false">E38</f>
        <v>0</v>
      </c>
      <c r="F76" s="29" t="n">
        <f aca="false">F38</f>
        <v>0</v>
      </c>
      <c r="G76" s="29" t="n">
        <f aca="false">G38</f>
        <v>0</v>
      </c>
      <c r="H76" s="23" t="n">
        <f aca="false">SUM(C76:G76)</f>
        <v>0</v>
      </c>
    </row>
    <row r="77" customFormat="false" ht="15" hidden="false" customHeight="false" outlineLevel="0" collapsed="false">
      <c r="B77" s="35" t="s">
        <v>107</v>
      </c>
      <c r="C77" s="29" t="n">
        <f aca="false">C97</f>
        <v>0</v>
      </c>
      <c r="D77" s="29" t="n">
        <f aca="false">D97</f>
        <v>0</v>
      </c>
      <c r="E77" s="29" t="n">
        <f aca="false">E97</f>
        <v>0</v>
      </c>
      <c r="F77" s="29" t="n">
        <f aca="false">F97</f>
        <v>0</v>
      </c>
      <c r="G77" s="29" t="n">
        <f aca="false">G97</f>
        <v>0</v>
      </c>
      <c r="H77" s="23" t="n">
        <f aca="false">SUM(C77:G77)</f>
        <v>0</v>
      </c>
    </row>
    <row r="78" customFormat="false" ht="15" hidden="false" customHeight="false" outlineLevel="0" collapsed="false">
      <c r="B78" s="35" t="s">
        <v>108</v>
      </c>
      <c r="C78" s="39" t="n">
        <f aca="false">MAX(0,'2024'!C112-C112)</f>
        <v>0</v>
      </c>
      <c r="D78" s="39" t="n">
        <f aca="false">MAX(0,'2024'!D112-D112)</f>
        <v>0</v>
      </c>
      <c r="E78" s="39" t="n">
        <f aca="false">MAX(0,'2024'!E112-E112)</f>
        <v>0</v>
      </c>
      <c r="F78" s="39" t="n">
        <f aca="false">MAX(0,'2024'!F112-F112)</f>
        <v>0</v>
      </c>
      <c r="G78" s="39" t="n">
        <f aca="false">MAX(0,'2024'!G112-G112)</f>
        <v>0</v>
      </c>
      <c r="H78" s="23" t="n">
        <f aca="false">SUM(C78:G78)</f>
        <v>0</v>
      </c>
    </row>
    <row r="79" customFormat="false" ht="15" hidden="false" customHeight="false" outlineLevel="0" collapsed="false">
      <c r="B79" s="35" t="s">
        <v>109</v>
      </c>
      <c r="C79" s="29" t="n">
        <f aca="false">C51</f>
        <v>0</v>
      </c>
      <c r="D79" s="29" t="n">
        <f aca="false">D51</f>
        <v>0</v>
      </c>
      <c r="E79" s="29" t="n">
        <f aca="false">E51</f>
        <v>0</v>
      </c>
      <c r="F79" s="29" t="n">
        <f aca="false">F51</f>
        <v>0</v>
      </c>
      <c r="G79" s="29" t="n">
        <f aca="false">G51</f>
        <v>0</v>
      </c>
      <c r="H79" s="23" t="n">
        <f aca="false">SUM(C79:G79)</f>
        <v>0</v>
      </c>
    </row>
    <row r="80" customFormat="false" ht="15" hidden="false" customHeight="false" outlineLevel="0" collapsed="false">
      <c r="B80" s="8" t="s">
        <v>110</v>
      </c>
      <c r="C80" s="22" t="n">
        <v>0</v>
      </c>
      <c r="D80" s="22" t="n">
        <v>0</v>
      </c>
      <c r="E80" s="22" t="n">
        <v>0</v>
      </c>
      <c r="F80" s="22" t="n">
        <v>0</v>
      </c>
      <c r="G80" s="22" t="n">
        <v>0</v>
      </c>
      <c r="H80" s="23" t="n">
        <f aca="false">SUM(C80:G80)</f>
        <v>0</v>
      </c>
    </row>
    <row r="81" customFormat="false" ht="15" hidden="false" customHeight="false" outlineLevel="0" collapsed="false">
      <c r="B81" s="32" t="s">
        <v>111</v>
      </c>
      <c r="C81" s="27" t="n">
        <f aca="false">C75+C76+C77+C78+C79+C80</f>
        <v>0</v>
      </c>
      <c r="D81" s="27" t="n">
        <f aca="false">D75+D76+D77+D78+D79+D80</f>
        <v>0</v>
      </c>
      <c r="E81" s="27" t="n">
        <f aca="false">E75+E76+E77+E78+E79+E80</f>
        <v>0</v>
      </c>
      <c r="F81" s="27" t="n">
        <f aca="false">F75+F76+F77+F78+F79+F80</f>
        <v>0</v>
      </c>
      <c r="G81" s="27" t="n">
        <f aca="false">G75+G76+G77+G78+G79+G80</f>
        <v>0</v>
      </c>
      <c r="H81" s="21" t="n">
        <f aca="false">SUM(C81:G81)</f>
        <v>0</v>
      </c>
    </row>
    <row r="82" customFormat="false" ht="15" hidden="false" customHeight="false" outlineLevel="0" collapsed="false">
      <c r="B82" s="34" t="s">
        <v>112</v>
      </c>
      <c r="C82" s="29" t="n">
        <f aca="false">C65+C73-C81</f>
        <v>0</v>
      </c>
      <c r="D82" s="29" t="n">
        <f aca="false">D65+D73-D81</f>
        <v>0</v>
      </c>
      <c r="E82" s="29" t="n">
        <f aca="false">E65+E73-E81</f>
        <v>0</v>
      </c>
      <c r="F82" s="29" t="n">
        <f aca="false">F65+F73-F81</f>
        <v>0</v>
      </c>
      <c r="G82" s="29" t="n">
        <f aca="false">G65+G73-G81</f>
        <v>0</v>
      </c>
      <c r="H82" s="23" t="n">
        <f aca="false">SUM(C82:G82)</f>
        <v>0</v>
      </c>
    </row>
    <row r="83" customFormat="false" ht="13.5" hidden="false" customHeight="true" outlineLevel="0" collapsed="false">
      <c r="B83" s="33" t="s">
        <v>113</v>
      </c>
      <c r="C83" s="33"/>
      <c r="D83" s="33"/>
      <c r="E83" s="33"/>
      <c r="F83" s="33"/>
      <c r="G83" s="33"/>
      <c r="H83" s="33"/>
    </row>
    <row r="84" customFormat="false" ht="15" hidden="false" customHeight="false" outlineLevel="0" collapsed="false">
      <c r="B84" s="35" t="s">
        <v>114</v>
      </c>
      <c r="C84" s="29" t="n">
        <f aca="false">MAX(0,-C82)</f>
        <v>-0</v>
      </c>
      <c r="D84" s="29" t="n">
        <f aca="false">MAX(0,-D82)</f>
        <v>-0</v>
      </c>
      <c r="E84" s="29" t="n">
        <f aca="false">MAX(0,-E82)</f>
        <v>-0</v>
      </c>
      <c r="F84" s="29" t="n">
        <f aca="false">MAX(0,-F82)</f>
        <v>-0</v>
      </c>
      <c r="G84" s="29" t="n">
        <f aca="false">MAX(0,-G82)</f>
        <v>-0</v>
      </c>
      <c r="H84" s="23" t="n">
        <f aca="false">SUM(C84:G84)</f>
        <v>0</v>
      </c>
    </row>
    <row r="85" customFormat="false" ht="15" hidden="false" customHeight="false" outlineLevel="0" collapsed="false">
      <c r="B85" s="28" t="s">
        <v>171</v>
      </c>
      <c r="C85" s="39" t="n">
        <f aca="false">MIN('2024'!C84,MAX(0,C82))</f>
        <v>0</v>
      </c>
      <c r="D85" s="39" t="n">
        <f aca="false">MIN('2024'!D84,MAX(0,D82))</f>
        <v>0</v>
      </c>
      <c r="E85" s="39" t="n">
        <f aca="false">MIN('2024'!E84,MAX(0,E82))</f>
        <v>0</v>
      </c>
      <c r="F85" s="39" t="n">
        <f aca="false">MIN('2024'!F84,MAX(0,F82))</f>
        <v>0</v>
      </c>
      <c r="G85" s="39" t="n">
        <f aca="false">MIN('2024'!G84,MAX(0,G82))</f>
        <v>0</v>
      </c>
      <c r="H85" s="23" t="n">
        <f aca="false">SUM(C85:G85)</f>
        <v>0</v>
      </c>
    </row>
    <row r="86" customFormat="false" ht="18" hidden="false" customHeight="true" outlineLevel="0" collapsed="false">
      <c r="B86" s="36" t="s">
        <v>172</v>
      </c>
      <c r="C86" s="27" t="n">
        <f aca="false">MAX(0,C82)-C85</f>
        <v>0</v>
      </c>
      <c r="D86" s="27" t="n">
        <f aca="false">MAX(0,D82)-D85</f>
        <v>0</v>
      </c>
      <c r="E86" s="27" t="n">
        <f aca="false">MAX(0,E82)-E85</f>
        <v>0</v>
      </c>
      <c r="F86" s="27" t="n">
        <f aca="false">MAX(0,F82)-F85</f>
        <v>0</v>
      </c>
      <c r="G86" s="27" t="n">
        <f aca="false">MAX(0,G82)-G85</f>
        <v>0</v>
      </c>
      <c r="H86" s="21" t="n">
        <f aca="false">SUM(C86:G86)</f>
        <v>0</v>
      </c>
    </row>
    <row r="87" customFormat="false" ht="15" hidden="false" customHeight="false" outlineLevel="0" collapsed="false">
      <c r="B87" s="40" t="s">
        <v>117</v>
      </c>
      <c r="C87" s="27" t="n">
        <f aca="false">MIN(C59,C86)</f>
        <v>0</v>
      </c>
      <c r="D87" s="27" t="n">
        <f aca="false">MIN(D59,D86)</f>
        <v>0</v>
      </c>
      <c r="E87" s="27" t="n">
        <f aca="false">MIN(E59,E86)</f>
        <v>0</v>
      </c>
      <c r="F87" s="27" t="n">
        <f aca="false">MIN(F59,F86)</f>
        <v>0</v>
      </c>
      <c r="G87" s="27" t="n">
        <f aca="false">MIN(G59,G86)</f>
        <v>0</v>
      </c>
      <c r="H87" s="21" t="n">
        <f aca="false">SUM(C87:G87)</f>
        <v>0</v>
      </c>
    </row>
    <row r="88" customFormat="false" ht="3.75" hidden="false" customHeight="true" outlineLevel="0" collapsed="false"/>
    <row r="89" customFormat="false" ht="15" hidden="false" customHeight="false" outlineLevel="0" collapsed="false">
      <c r="B89" s="3" t="s">
        <v>173</v>
      </c>
      <c r="C89" s="3"/>
      <c r="D89" s="3"/>
      <c r="E89" s="3"/>
      <c r="F89" s="3"/>
      <c r="G89" s="3"/>
      <c r="H89" s="3"/>
    </row>
    <row r="90" customFormat="false" ht="19.5" hidden="false" customHeight="true" outlineLevel="0" collapsed="false">
      <c r="B90" s="2" t="s">
        <v>119</v>
      </c>
      <c r="C90" s="2"/>
      <c r="D90" s="2"/>
      <c r="E90" s="2"/>
      <c r="F90" s="2"/>
      <c r="G90" s="2"/>
      <c r="H90" s="2"/>
    </row>
    <row r="91" customFormat="false" ht="30" hidden="false" customHeight="true" outlineLevel="0" collapsed="false">
      <c r="B91" s="12" t="s">
        <v>120</v>
      </c>
      <c r="C91" s="13" t="s">
        <v>25</v>
      </c>
      <c r="D91" s="13" t="s">
        <v>27</v>
      </c>
      <c r="E91" s="13" t="s">
        <v>29</v>
      </c>
      <c r="F91" s="13" t="s">
        <v>30</v>
      </c>
      <c r="G91" s="13" t="s">
        <v>32</v>
      </c>
      <c r="H91" s="13" t="s">
        <v>121</v>
      </c>
    </row>
    <row r="92" customFormat="false" ht="3.75" hidden="false" customHeight="true" outlineLevel="0" collapsed="false"/>
    <row r="93" customFormat="false" ht="13.5" hidden="false" customHeight="true" outlineLevel="0" collapsed="false">
      <c r="B93" s="3" t="s">
        <v>122</v>
      </c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B94" s="4" t="s">
        <v>123</v>
      </c>
      <c r="C94" s="41" t="n">
        <v>0</v>
      </c>
      <c r="D94" s="42" t="s">
        <v>124</v>
      </c>
      <c r="E94" s="42"/>
      <c r="F94" s="42"/>
      <c r="G94" s="42"/>
    </row>
    <row r="95" customFormat="false" ht="15" hidden="false" customHeight="false" outlineLevel="0" collapsed="false">
      <c r="B95" s="35" t="s">
        <v>125</v>
      </c>
      <c r="C95" s="43" t="n">
        <f aca="false">'2024'!C98</f>
        <v>0</v>
      </c>
      <c r="D95" s="43" t="n">
        <f aca="false">'2024'!D98</f>
        <v>0</v>
      </c>
      <c r="E95" s="43" t="n">
        <f aca="false">'2024'!E98</f>
        <v>0</v>
      </c>
      <c r="F95" s="43" t="n">
        <f aca="false">'2024'!F98</f>
        <v>0</v>
      </c>
      <c r="G95" s="43" t="n">
        <f aca="false">'2024'!G98</f>
        <v>0</v>
      </c>
      <c r="H95" s="44" t="n">
        <f aca="false">SUM(C95:G95)</f>
        <v>0</v>
      </c>
    </row>
    <row r="96" customFormat="false" ht="15" hidden="false" customHeight="false" outlineLevel="0" collapsed="false">
      <c r="B96" s="35" t="s">
        <v>126</v>
      </c>
      <c r="C96" s="41" t="n">
        <v>0</v>
      </c>
      <c r="D96" s="41" t="n">
        <v>0</v>
      </c>
      <c r="E96" s="41" t="n">
        <v>0</v>
      </c>
      <c r="F96" s="41" t="n">
        <v>0</v>
      </c>
      <c r="G96" s="41" t="n">
        <v>0</v>
      </c>
      <c r="H96" s="44" t="n">
        <f aca="false">SUM(C96:G96)</f>
        <v>0</v>
      </c>
    </row>
    <row r="97" customFormat="false" ht="15" hidden="false" customHeight="false" outlineLevel="0" collapsed="false">
      <c r="B97" s="35" t="s">
        <v>127</v>
      </c>
      <c r="C97" s="41" t="n">
        <v>0</v>
      </c>
      <c r="D97" s="41" t="n">
        <v>0</v>
      </c>
      <c r="E97" s="41" t="n">
        <v>0</v>
      </c>
      <c r="F97" s="41" t="n">
        <v>0</v>
      </c>
      <c r="G97" s="41" t="n">
        <v>0</v>
      </c>
      <c r="H97" s="44" t="n">
        <f aca="false">SUM(C97:G97)</f>
        <v>0</v>
      </c>
    </row>
    <row r="98" customFormat="false" ht="15" hidden="false" customHeight="false" outlineLevel="0" collapsed="false">
      <c r="B98" s="4" t="s">
        <v>128</v>
      </c>
      <c r="C98" s="21" t="n">
        <f aca="false">C95+C96-C97</f>
        <v>0</v>
      </c>
      <c r="D98" s="21" t="n">
        <f aca="false">D95+D96-D97</f>
        <v>0</v>
      </c>
      <c r="E98" s="21" t="n">
        <f aca="false">E95+E96-E97</f>
        <v>0</v>
      </c>
      <c r="F98" s="21" t="n">
        <f aca="false">F95+F96-F97</f>
        <v>0</v>
      </c>
      <c r="G98" s="21" t="n">
        <f aca="false">G95+G96-G97</f>
        <v>0</v>
      </c>
      <c r="H98" s="45" t="str">
        <f aca="false">IF(ABS(C94-SUM(C98:G98))&lt;1,TEXT(SUM(C98:G98),"$#,##0")&amp;" ✓",TEXT(SUM(C98:G98),"$#,##0")&amp;" ⚠ gap")</f>
        <v>$0 ✓</v>
      </c>
    </row>
    <row r="99" customFormat="false" ht="3.75" hidden="false" customHeight="true" outlineLevel="0" collapsed="false"/>
    <row r="100" customFormat="false" ht="13.5" hidden="false" customHeight="true" outlineLevel="0" collapsed="false">
      <c r="B100" s="37" t="s">
        <v>129</v>
      </c>
      <c r="C100" s="37"/>
      <c r="D100" s="37"/>
      <c r="E100" s="37"/>
      <c r="F100" s="37"/>
      <c r="G100" s="37"/>
      <c r="H100" s="37"/>
    </row>
    <row r="101" customFormat="false" ht="15" hidden="false" customHeight="false" outlineLevel="0" collapsed="false">
      <c r="B101" s="4" t="s">
        <v>123</v>
      </c>
      <c r="C101" s="41" t="n">
        <v>0</v>
      </c>
      <c r="D101" s="42" t="s">
        <v>124</v>
      </c>
      <c r="E101" s="42"/>
      <c r="F101" s="42"/>
      <c r="G101" s="42"/>
    </row>
    <row r="102" customFormat="false" ht="15" hidden="false" customHeight="false" outlineLevel="0" collapsed="false">
      <c r="B102" s="35" t="s">
        <v>125</v>
      </c>
      <c r="C102" s="43" t="n">
        <f aca="false">'2024'!C105</f>
        <v>0</v>
      </c>
      <c r="D102" s="43" t="n">
        <f aca="false">'2024'!D105</f>
        <v>0</v>
      </c>
      <c r="E102" s="43" t="n">
        <f aca="false">'2024'!E105</f>
        <v>0</v>
      </c>
      <c r="F102" s="43" t="n">
        <f aca="false">'2024'!F105</f>
        <v>0</v>
      </c>
      <c r="G102" s="43" t="n">
        <f aca="false">'2024'!G105</f>
        <v>0</v>
      </c>
      <c r="H102" s="44" t="n">
        <f aca="false">SUM(C102:G102)</f>
        <v>0</v>
      </c>
    </row>
    <row r="103" customFormat="false" ht="15" hidden="false" customHeight="false" outlineLevel="0" collapsed="false">
      <c r="B103" s="35" t="s">
        <v>126</v>
      </c>
      <c r="C103" s="41" t="n">
        <v>0</v>
      </c>
      <c r="D103" s="41" t="n">
        <v>0</v>
      </c>
      <c r="E103" s="41" t="n">
        <v>0</v>
      </c>
      <c r="F103" s="41" t="n">
        <v>0</v>
      </c>
      <c r="G103" s="41" t="n">
        <v>0</v>
      </c>
      <c r="H103" s="44" t="n">
        <f aca="false">SUM(C103:G103)</f>
        <v>0</v>
      </c>
    </row>
    <row r="104" customFormat="false" ht="15" hidden="false" customHeight="false" outlineLevel="0" collapsed="false">
      <c r="B104" s="35" t="s">
        <v>127</v>
      </c>
      <c r="C104" s="41" t="n">
        <v>0</v>
      </c>
      <c r="D104" s="41" t="n">
        <v>0</v>
      </c>
      <c r="E104" s="41" t="n">
        <v>0</v>
      </c>
      <c r="F104" s="41" t="n">
        <v>0</v>
      </c>
      <c r="G104" s="41" t="n">
        <v>0</v>
      </c>
      <c r="H104" s="44" t="n">
        <f aca="false">SUM(C104:G104)</f>
        <v>0</v>
      </c>
    </row>
    <row r="105" customFormat="false" ht="15" hidden="false" customHeight="false" outlineLevel="0" collapsed="false">
      <c r="B105" s="4" t="s">
        <v>128</v>
      </c>
      <c r="C105" s="21" t="n">
        <f aca="false">C102+C103-C104</f>
        <v>0</v>
      </c>
      <c r="D105" s="21" t="n">
        <f aca="false">D102+D103-D104</f>
        <v>0</v>
      </c>
      <c r="E105" s="21" t="n">
        <f aca="false">E102+E103-E104</f>
        <v>0</v>
      </c>
      <c r="F105" s="21" t="n">
        <f aca="false">F102+F103-F104</f>
        <v>0</v>
      </c>
      <c r="G105" s="21" t="n">
        <f aca="false">G102+G103-G104</f>
        <v>0</v>
      </c>
      <c r="H105" s="45" t="str">
        <f aca="false">IF(ABS(C101-SUM(C105:G105))&lt;1,TEXT(SUM(C105:G105),"$#,##0")&amp;" ✓",TEXT(SUM(C105:G105),"$#,##0")&amp;" ⚠ gap")</f>
        <v>$0 ✓</v>
      </c>
    </row>
    <row r="106" customFormat="false" ht="3.75" hidden="false" customHeight="true" outlineLevel="0" collapsed="false"/>
    <row r="107" customFormat="false" ht="13.5" hidden="false" customHeight="true" outlineLevel="0" collapsed="false">
      <c r="B107" s="17" t="s">
        <v>130</v>
      </c>
      <c r="C107" s="17"/>
      <c r="D107" s="17"/>
      <c r="E107" s="17"/>
      <c r="F107" s="17"/>
      <c r="G107" s="17"/>
      <c r="H107" s="17"/>
    </row>
    <row r="108" customFormat="false" ht="15" hidden="false" customHeight="false" outlineLevel="0" collapsed="false">
      <c r="B108" s="4" t="s">
        <v>123</v>
      </c>
      <c r="C108" s="41" t="n">
        <v>0</v>
      </c>
      <c r="D108" s="42" t="s">
        <v>124</v>
      </c>
      <c r="E108" s="42"/>
      <c r="F108" s="42"/>
      <c r="G108" s="42"/>
    </row>
    <row r="109" customFormat="false" ht="15" hidden="false" customHeight="false" outlineLevel="0" collapsed="false">
      <c r="B109" s="35" t="s">
        <v>125</v>
      </c>
      <c r="C109" s="43" t="n">
        <f aca="false">'2024'!C112</f>
        <v>0</v>
      </c>
      <c r="D109" s="43" t="n">
        <f aca="false">'2024'!D112</f>
        <v>0</v>
      </c>
      <c r="E109" s="43" t="n">
        <f aca="false">'2024'!E112</f>
        <v>0</v>
      </c>
      <c r="F109" s="43" t="n">
        <f aca="false">'2024'!F112</f>
        <v>0</v>
      </c>
      <c r="G109" s="43" t="n">
        <f aca="false">'2024'!G112</f>
        <v>0</v>
      </c>
      <c r="H109" s="44" t="n">
        <f aca="false">SUM(C109:G109)</f>
        <v>0</v>
      </c>
    </row>
    <row r="110" customFormat="false" ht="15" hidden="false" customHeight="false" outlineLevel="0" collapsed="false">
      <c r="B110" s="35" t="s">
        <v>126</v>
      </c>
      <c r="C110" s="41" t="n">
        <v>0</v>
      </c>
      <c r="D110" s="41" t="n">
        <v>0</v>
      </c>
      <c r="E110" s="41" t="n">
        <v>0</v>
      </c>
      <c r="F110" s="41" t="n">
        <v>0</v>
      </c>
      <c r="G110" s="41" t="n">
        <v>0</v>
      </c>
      <c r="H110" s="44" t="n">
        <f aca="false">SUM(C110:G110)</f>
        <v>0</v>
      </c>
    </row>
    <row r="111" customFormat="false" ht="15" hidden="false" customHeight="false" outlineLevel="0" collapsed="false">
      <c r="B111" s="35" t="s">
        <v>127</v>
      </c>
      <c r="C111" s="41" t="n">
        <v>0</v>
      </c>
      <c r="D111" s="41" t="n">
        <v>0</v>
      </c>
      <c r="E111" s="41" t="n">
        <v>0</v>
      </c>
      <c r="F111" s="41" t="n">
        <v>0</v>
      </c>
      <c r="G111" s="41" t="n">
        <v>0</v>
      </c>
      <c r="H111" s="44" t="n">
        <f aca="false">SUM(C111:G111)</f>
        <v>0</v>
      </c>
    </row>
    <row r="112" customFormat="false" ht="15" hidden="false" customHeight="false" outlineLevel="0" collapsed="false">
      <c r="B112" s="4" t="s">
        <v>128</v>
      </c>
      <c r="C112" s="21" t="n">
        <f aca="false">C109+C110-C111</f>
        <v>0</v>
      </c>
      <c r="D112" s="21" t="n">
        <f aca="false">D109+D110-D111</f>
        <v>0</v>
      </c>
      <c r="E112" s="21" t="n">
        <f aca="false">E109+E110-E111</f>
        <v>0</v>
      </c>
      <c r="F112" s="21" t="n">
        <f aca="false">F109+F110-F111</f>
        <v>0</v>
      </c>
      <c r="G112" s="21" t="n">
        <f aca="false">G109+G110-G111</f>
        <v>0</v>
      </c>
      <c r="H112" s="45" t="str">
        <f aca="false">IF(ABS(C108-SUM(C112:G112))&lt;1,TEXT(SUM(C112:G112),"$#,##0")&amp;" ✓",TEXT(SUM(C112:G112),"$#,##0")&amp;" ⚠ gap")</f>
        <v>$0 ✓</v>
      </c>
    </row>
    <row r="113" customFormat="false" ht="3.75" hidden="false" customHeight="true" outlineLevel="0" collapsed="false"/>
    <row r="114" customFormat="false" ht="15" hidden="false" customHeight="false" outlineLevel="0" collapsed="false">
      <c r="B114" s="3" t="s">
        <v>174</v>
      </c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B115" s="35" t="s">
        <v>132</v>
      </c>
      <c r="C115" s="23" t="n">
        <f aca="false">C98+C105+C112</f>
        <v>0</v>
      </c>
      <c r="D115" s="23" t="n">
        <f aca="false">D98+D105+D112</f>
        <v>0</v>
      </c>
      <c r="E115" s="23" t="n">
        <f aca="false">E98+E105+E112</f>
        <v>0</v>
      </c>
      <c r="F115" s="23" t="n">
        <f aca="false">F98+F105+F112</f>
        <v>0</v>
      </c>
      <c r="G115" s="23" t="n">
        <f aca="false">G98+G105+G112</f>
        <v>0</v>
      </c>
      <c r="H115" s="44" t="n">
        <f aca="false">SUM(C115:G115)</f>
        <v>0</v>
      </c>
    </row>
    <row r="116" customFormat="false" ht="15" hidden="false" customHeight="false" outlineLevel="0" collapsed="false">
      <c r="B116" s="35" t="s">
        <v>133</v>
      </c>
      <c r="C116" s="46" t="n">
        <f aca="false">'2024'!C98+'2024'!C105+'2024'!C112</f>
        <v>0</v>
      </c>
      <c r="D116" s="46" t="n">
        <f aca="false">'2024'!D98+'2024'!D105+'2024'!D112</f>
        <v>0</v>
      </c>
      <c r="E116" s="46" t="n">
        <f aca="false">'2024'!E98+'2024'!E105+'2024'!E112</f>
        <v>0</v>
      </c>
      <c r="F116" s="46" t="n">
        <f aca="false">'2024'!F98+'2024'!F105+'2024'!F112</f>
        <v>0</v>
      </c>
      <c r="G116" s="46" t="n">
        <f aca="false">'2024'!G98+'2024'!G105+'2024'!G112</f>
        <v>0</v>
      </c>
      <c r="H116" s="44" t="n">
        <f aca="false">SUM(C116:G116)</f>
        <v>0</v>
      </c>
    </row>
    <row r="117" customFormat="false" ht="15.75" hidden="false" customHeight="true" outlineLevel="0" collapsed="false">
      <c r="B117" s="4" t="s">
        <v>134</v>
      </c>
      <c r="C117" s="21" t="n">
        <f aca="false">C115-C116</f>
        <v>0</v>
      </c>
      <c r="D117" s="21" t="n">
        <f aca="false">D115-D116</f>
        <v>0</v>
      </c>
      <c r="E117" s="21" t="n">
        <f aca="false">E115-E116</f>
        <v>0</v>
      </c>
      <c r="F117" s="21" t="n">
        <f aca="false">F115-F116</f>
        <v>0</v>
      </c>
      <c r="G117" s="21" t="n">
        <f aca="false">G115-G116</f>
        <v>0</v>
      </c>
      <c r="H117" s="44" t="n">
        <f aca="false">SUM(C117:G117)</f>
        <v>0</v>
      </c>
    </row>
  </sheetData>
  <sheetProtection sheet="true" password="c466"/>
  <mergeCells count="27">
    <mergeCell ref="A1:H1"/>
    <mergeCell ref="B2:H2"/>
    <mergeCell ref="B4:H4"/>
    <mergeCell ref="B5:H5"/>
    <mergeCell ref="B13:H13"/>
    <mergeCell ref="B14:H14"/>
    <mergeCell ref="B18:H18"/>
    <mergeCell ref="B21:H21"/>
    <mergeCell ref="B33:H33"/>
    <mergeCell ref="B36:H36"/>
    <mergeCell ref="B39:H39"/>
    <mergeCell ref="B52:H52"/>
    <mergeCell ref="B55:H55"/>
    <mergeCell ref="B61:H61"/>
    <mergeCell ref="B62:H62"/>
    <mergeCell ref="B66:H66"/>
    <mergeCell ref="B74:H74"/>
    <mergeCell ref="B83:H83"/>
    <mergeCell ref="B89:H89"/>
    <mergeCell ref="B90:H90"/>
    <mergeCell ref="B93:H93"/>
    <mergeCell ref="D94:G94"/>
    <mergeCell ref="B100:H100"/>
    <mergeCell ref="D101:G101"/>
    <mergeCell ref="B107:H107"/>
    <mergeCell ref="D108:G108"/>
    <mergeCell ref="B114:H114"/>
  </mergeCells>
  <dataValidations count="2">
    <dataValidation allowBlank="true" error="Enter 0-1 (e.g. 0.20 = 20%)" errorStyle="stop" operator="between" showDropDown="false" showErrorMessage="false" showInputMessage="false" sqref="C9:G11" type="decimal">
      <formula1>0</formula1>
      <formula2>1</formula2>
    </dataValidation>
    <dataValidation allowBlank="false" errorStyle="stop" operator="between" showDropDown="false" showErrorMessage="false" showInputMessage="false" sqref="C8:G8" type="list">
      <formula1>"Active,Closed-Out,New-Transferee"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7" min="3" style="0" width="16"/>
    <col collapsed="false" customWidth="true" hidden="false" outlineLevel="0" max="8" min="8" style="0" width="15"/>
  </cols>
  <sheetData>
    <row r="1" customFormat="false" ht="27.75" hidden="false" customHeight="true" outlineLevel="0" collapsed="false">
      <c r="A1" s="11" t="s">
        <v>175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B2" s="2" t="s">
        <v>176</v>
      </c>
      <c r="C2" s="2"/>
      <c r="D2" s="2"/>
      <c r="E2" s="2"/>
      <c r="F2" s="2"/>
      <c r="G2" s="2"/>
      <c r="H2" s="2"/>
    </row>
    <row r="3" customFormat="false" ht="3.75" hidden="false" customHeight="true" outlineLevel="0" collapsed="false"/>
    <row r="4" customFormat="false" ht="30" hidden="false" customHeight="true" outlineLevel="0" collapsed="false">
      <c r="B4" s="12" t="s">
        <v>177</v>
      </c>
      <c r="C4" s="13" t="s">
        <v>25</v>
      </c>
      <c r="D4" s="13" t="s">
        <v>27</v>
      </c>
      <c r="E4" s="13" t="s">
        <v>29</v>
      </c>
      <c r="F4" s="13" t="s">
        <v>30</v>
      </c>
      <c r="G4" s="13" t="s">
        <v>32</v>
      </c>
      <c r="H4" s="12" t="s">
        <v>48</v>
      </c>
    </row>
    <row r="5" customFormat="false" ht="3.75" hidden="false" customHeight="true" outlineLevel="0" collapsed="false"/>
    <row r="6" customFormat="false" ht="18" hidden="false" customHeight="true" outlineLevel="0" collapsed="false">
      <c r="B6" s="47" t="s">
        <v>178</v>
      </c>
      <c r="C6" s="47"/>
      <c r="D6" s="47"/>
      <c r="E6" s="47"/>
      <c r="F6" s="47"/>
      <c r="G6" s="47"/>
      <c r="H6" s="47"/>
    </row>
    <row r="7" customFormat="false" ht="15.75" hidden="false" customHeight="true" outlineLevel="0" collapsed="false">
      <c r="B7" s="48" t="s">
        <v>179</v>
      </c>
      <c r="C7" s="49" t="n">
        <f aca="false">'2021'!C59</f>
        <v>0</v>
      </c>
      <c r="D7" s="49" t="n">
        <f aca="false">'2021'!D59</f>
        <v>0</v>
      </c>
      <c r="E7" s="49" t="n">
        <f aca="false">'2021'!E59</f>
        <v>0</v>
      </c>
      <c r="F7" s="49" t="n">
        <f aca="false">'2021'!F59</f>
        <v>0</v>
      </c>
      <c r="G7" s="49" t="n">
        <f aca="false">'2021'!G59</f>
        <v>0</v>
      </c>
      <c r="H7" s="44" t="n">
        <f aca="false">SUM(C7:G7)</f>
        <v>0</v>
      </c>
    </row>
    <row r="8" customFormat="false" ht="15.75" hidden="false" customHeight="true" outlineLevel="0" collapsed="false">
      <c r="B8" s="48" t="s">
        <v>180</v>
      </c>
      <c r="C8" s="49" t="n">
        <f aca="false">'2021'!C86</f>
        <v>0</v>
      </c>
      <c r="D8" s="49" t="n">
        <f aca="false">'2021'!D86</f>
        <v>0</v>
      </c>
      <c r="E8" s="49" t="n">
        <f aca="false">'2021'!E86</f>
        <v>0</v>
      </c>
      <c r="F8" s="49" t="n">
        <f aca="false">'2021'!F86</f>
        <v>0</v>
      </c>
      <c r="G8" s="49" t="n">
        <f aca="false">'2021'!G86</f>
        <v>0</v>
      </c>
      <c r="H8" s="44" t="n">
        <f aca="false">SUM(C8:G8)</f>
        <v>0</v>
      </c>
    </row>
    <row r="9" customFormat="false" ht="15.75" hidden="false" customHeight="true" outlineLevel="0" collapsed="false">
      <c r="B9" s="40" t="s">
        <v>181</v>
      </c>
      <c r="C9" s="50" t="n">
        <f aca="false">MIN('2021'!C59,'2021'!C86)</f>
        <v>0</v>
      </c>
      <c r="D9" s="50" t="n">
        <f aca="false">MIN('2021'!D59,'2021'!D86)</f>
        <v>0</v>
      </c>
      <c r="E9" s="50" t="n">
        <f aca="false">MIN('2021'!E59,'2021'!E86)</f>
        <v>0</v>
      </c>
      <c r="F9" s="50" t="n">
        <f aca="false">MIN('2021'!F59,'2021'!F86)</f>
        <v>0</v>
      </c>
      <c r="G9" s="50" t="n">
        <f aca="false">MIN('2021'!G59,'2021'!G86)</f>
        <v>0</v>
      </c>
      <c r="H9" s="44" t="n">
        <f aca="false">SUM(C9:G9)</f>
        <v>0</v>
      </c>
    </row>
    <row r="10" customFormat="false" ht="15.75" hidden="false" customHeight="true" outlineLevel="0" collapsed="false">
      <c r="B10" s="35" t="s">
        <v>182</v>
      </c>
      <c r="C10" s="46" t="n">
        <f aca="false">'2021'!C117</f>
        <v>0</v>
      </c>
      <c r="D10" s="46" t="n">
        <f aca="false">'2021'!D117</f>
        <v>0</v>
      </c>
      <c r="E10" s="46" t="n">
        <f aca="false">'2021'!E117</f>
        <v>0</v>
      </c>
      <c r="F10" s="46" t="n">
        <f aca="false">'2021'!F117</f>
        <v>0</v>
      </c>
      <c r="G10" s="46" t="n">
        <f aca="false">'2021'!G117</f>
        <v>0</v>
      </c>
      <c r="H10" s="44" t="n">
        <f aca="false">SUM(C10:G10)</f>
        <v>0</v>
      </c>
    </row>
    <row r="11" customFormat="false" ht="13.5" hidden="false" customHeight="true" outlineLevel="0" collapsed="false">
      <c r="B11" s="35" t="s">
        <v>183</v>
      </c>
      <c r="C11" s="51" t="n">
        <f aca="false">'2021'!C9</f>
        <v>0.2</v>
      </c>
      <c r="D11" s="51" t="n">
        <f aca="false">'2021'!D9</f>
        <v>0.2</v>
      </c>
      <c r="E11" s="51" t="n">
        <f aca="false">'2021'!E9</f>
        <v>0.2</v>
      </c>
      <c r="F11" s="51" t="n">
        <f aca="false">'2021'!F9</f>
        <v>0.2</v>
      </c>
      <c r="G11" s="51" t="n">
        <f aca="false">'2021'!G9</f>
        <v>0.2</v>
      </c>
      <c r="H11" s="52" t="n">
        <f aca="false">SUM(C11:G11)</f>
        <v>1</v>
      </c>
    </row>
    <row r="12" customFormat="false" ht="4.5" hidden="false" customHeight="true" outlineLevel="0" collapsed="false"/>
    <row r="13" customFormat="false" ht="18" hidden="false" customHeight="true" outlineLevel="0" collapsed="false">
      <c r="B13" s="47" t="s">
        <v>184</v>
      </c>
      <c r="C13" s="47"/>
      <c r="D13" s="47"/>
      <c r="E13" s="47"/>
      <c r="F13" s="47"/>
      <c r="G13" s="47"/>
      <c r="H13" s="47"/>
    </row>
    <row r="14" customFormat="false" ht="15.75" hidden="false" customHeight="true" outlineLevel="0" collapsed="false">
      <c r="B14" s="48" t="s">
        <v>179</v>
      </c>
      <c r="C14" s="49" t="n">
        <f aca="false">'2022'!C59</f>
        <v>0</v>
      </c>
      <c r="D14" s="49" t="n">
        <f aca="false">'2022'!D59</f>
        <v>0</v>
      </c>
      <c r="E14" s="49" t="n">
        <f aca="false">'2022'!E59</f>
        <v>0</v>
      </c>
      <c r="F14" s="49" t="n">
        <f aca="false">'2022'!F59</f>
        <v>0</v>
      </c>
      <c r="G14" s="49" t="n">
        <f aca="false">'2022'!G59</f>
        <v>0</v>
      </c>
      <c r="H14" s="44" t="n">
        <f aca="false">SUM(C14:G14)</f>
        <v>0</v>
      </c>
    </row>
    <row r="15" customFormat="false" ht="15.75" hidden="false" customHeight="true" outlineLevel="0" collapsed="false">
      <c r="B15" s="48" t="s">
        <v>180</v>
      </c>
      <c r="C15" s="49" t="n">
        <f aca="false">'2022'!C86</f>
        <v>0</v>
      </c>
      <c r="D15" s="49" t="n">
        <f aca="false">'2022'!D86</f>
        <v>0</v>
      </c>
      <c r="E15" s="49" t="n">
        <f aca="false">'2022'!E86</f>
        <v>0</v>
      </c>
      <c r="F15" s="49" t="n">
        <f aca="false">'2022'!F86</f>
        <v>0</v>
      </c>
      <c r="G15" s="49" t="n">
        <f aca="false">'2022'!G86</f>
        <v>0</v>
      </c>
      <c r="H15" s="44" t="n">
        <f aca="false">SUM(C15:G15)</f>
        <v>0</v>
      </c>
    </row>
    <row r="16" customFormat="false" ht="15.75" hidden="false" customHeight="true" outlineLevel="0" collapsed="false">
      <c r="B16" s="40" t="s">
        <v>181</v>
      </c>
      <c r="C16" s="50" t="n">
        <f aca="false">MIN('2022'!C59,'2022'!C86)</f>
        <v>0</v>
      </c>
      <c r="D16" s="50" t="n">
        <f aca="false">MIN('2022'!D59,'2022'!D86)</f>
        <v>0</v>
      </c>
      <c r="E16" s="50" t="n">
        <f aca="false">MIN('2022'!E59,'2022'!E86)</f>
        <v>0</v>
      </c>
      <c r="F16" s="50" t="n">
        <f aca="false">MIN('2022'!F59,'2022'!F86)</f>
        <v>0</v>
      </c>
      <c r="G16" s="50" t="n">
        <f aca="false">MIN('2022'!G59,'2022'!G86)</f>
        <v>0</v>
      </c>
      <c r="H16" s="44" t="n">
        <f aca="false">SUM(C16:G16)</f>
        <v>0</v>
      </c>
    </row>
    <row r="17" customFormat="false" ht="15.75" hidden="false" customHeight="true" outlineLevel="0" collapsed="false">
      <c r="B17" s="35" t="s">
        <v>182</v>
      </c>
      <c r="C17" s="46" t="n">
        <f aca="false">'2022'!C117</f>
        <v>0</v>
      </c>
      <c r="D17" s="46" t="n">
        <f aca="false">'2022'!D117</f>
        <v>0</v>
      </c>
      <c r="E17" s="46" t="n">
        <f aca="false">'2022'!E117</f>
        <v>0</v>
      </c>
      <c r="F17" s="46" t="n">
        <f aca="false">'2022'!F117</f>
        <v>0</v>
      </c>
      <c r="G17" s="46" t="n">
        <f aca="false">'2022'!G117</f>
        <v>0</v>
      </c>
      <c r="H17" s="44" t="n">
        <f aca="false">SUM(C17:G17)</f>
        <v>0</v>
      </c>
    </row>
    <row r="18" customFormat="false" ht="13.5" hidden="false" customHeight="true" outlineLevel="0" collapsed="false">
      <c r="B18" s="35" t="s">
        <v>183</v>
      </c>
      <c r="C18" s="51" t="n">
        <f aca="false">'2022'!C9</f>
        <v>0.2</v>
      </c>
      <c r="D18" s="51" t="n">
        <f aca="false">'2022'!D9</f>
        <v>0.2</v>
      </c>
      <c r="E18" s="51" t="n">
        <f aca="false">'2022'!E9</f>
        <v>0.2</v>
      </c>
      <c r="F18" s="51" t="n">
        <f aca="false">'2022'!F9</f>
        <v>0.2</v>
      </c>
      <c r="G18" s="51" t="n">
        <f aca="false">'2022'!G9</f>
        <v>0.2</v>
      </c>
      <c r="H18" s="52" t="n">
        <f aca="false">SUM(C18:G18)</f>
        <v>1</v>
      </c>
    </row>
    <row r="19" customFormat="false" ht="4.5" hidden="false" customHeight="true" outlineLevel="0" collapsed="false"/>
    <row r="20" customFormat="false" ht="18" hidden="false" customHeight="true" outlineLevel="0" collapsed="false">
      <c r="B20" s="47" t="s">
        <v>185</v>
      </c>
      <c r="C20" s="47"/>
      <c r="D20" s="47"/>
      <c r="E20" s="47"/>
      <c r="F20" s="47"/>
      <c r="G20" s="47"/>
      <c r="H20" s="47"/>
    </row>
    <row r="21" customFormat="false" ht="15.75" hidden="false" customHeight="true" outlineLevel="0" collapsed="false">
      <c r="B21" s="48" t="s">
        <v>179</v>
      </c>
      <c r="C21" s="49" t="n">
        <f aca="false">'2023'!C59</f>
        <v>0</v>
      </c>
      <c r="D21" s="49" t="n">
        <f aca="false">'2023'!D59</f>
        <v>0</v>
      </c>
      <c r="E21" s="49" t="n">
        <f aca="false">'2023'!E59</f>
        <v>0</v>
      </c>
      <c r="F21" s="49" t="n">
        <f aca="false">'2023'!F59</f>
        <v>0</v>
      </c>
      <c r="G21" s="49" t="n">
        <f aca="false">'2023'!G59</f>
        <v>0</v>
      </c>
      <c r="H21" s="44" t="n">
        <f aca="false">SUM(C21:G21)</f>
        <v>0</v>
      </c>
    </row>
    <row r="22" customFormat="false" ht="15.75" hidden="false" customHeight="true" outlineLevel="0" collapsed="false">
      <c r="B22" s="48" t="s">
        <v>180</v>
      </c>
      <c r="C22" s="49" t="n">
        <f aca="false">'2023'!C86</f>
        <v>0</v>
      </c>
      <c r="D22" s="49" t="n">
        <f aca="false">'2023'!D86</f>
        <v>0</v>
      </c>
      <c r="E22" s="49" t="n">
        <f aca="false">'2023'!E86</f>
        <v>0</v>
      </c>
      <c r="F22" s="49" t="n">
        <f aca="false">'2023'!F86</f>
        <v>0</v>
      </c>
      <c r="G22" s="49" t="n">
        <f aca="false">'2023'!G86</f>
        <v>0</v>
      </c>
      <c r="H22" s="44" t="n">
        <f aca="false">SUM(C22:G22)</f>
        <v>0</v>
      </c>
    </row>
    <row r="23" customFormat="false" ht="15.75" hidden="false" customHeight="true" outlineLevel="0" collapsed="false">
      <c r="B23" s="40" t="s">
        <v>181</v>
      </c>
      <c r="C23" s="50" t="n">
        <f aca="false">MIN('2023'!C59,'2023'!C86)</f>
        <v>0</v>
      </c>
      <c r="D23" s="50" t="n">
        <f aca="false">MIN('2023'!D59,'2023'!D86)</f>
        <v>0</v>
      </c>
      <c r="E23" s="50" t="n">
        <f aca="false">MIN('2023'!E59,'2023'!E86)</f>
        <v>0</v>
      </c>
      <c r="F23" s="50" t="n">
        <f aca="false">MIN('2023'!F59,'2023'!F86)</f>
        <v>0</v>
      </c>
      <c r="G23" s="50" t="n">
        <f aca="false">MIN('2023'!G59,'2023'!G86)</f>
        <v>0</v>
      </c>
      <c r="H23" s="44" t="n">
        <f aca="false">SUM(C23:G23)</f>
        <v>0</v>
      </c>
    </row>
    <row r="24" customFormat="false" ht="15.75" hidden="false" customHeight="true" outlineLevel="0" collapsed="false">
      <c r="B24" s="35" t="s">
        <v>182</v>
      </c>
      <c r="C24" s="46" t="n">
        <f aca="false">'2023'!C117</f>
        <v>0</v>
      </c>
      <c r="D24" s="46" t="n">
        <f aca="false">'2023'!D117</f>
        <v>0</v>
      </c>
      <c r="E24" s="46" t="n">
        <f aca="false">'2023'!E117</f>
        <v>0</v>
      </c>
      <c r="F24" s="46" t="n">
        <f aca="false">'2023'!F117</f>
        <v>0</v>
      </c>
      <c r="G24" s="46" t="n">
        <f aca="false">'2023'!G117</f>
        <v>0</v>
      </c>
      <c r="H24" s="44" t="n">
        <f aca="false">SUM(C24:G24)</f>
        <v>0</v>
      </c>
    </row>
    <row r="25" customFormat="false" ht="13.5" hidden="false" customHeight="true" outlineLevel="0" collapsed="false">
      <c r="B25" s="35" t="s">
        <v>183</v>
      </c>
      <c r="C25" s="51" t="n">
        <f aca="false">'2023'!C9</f>
        <v>0.2</v>
      </c>
      <c r="D25" s="51" t="n">
        <f aca="false">'2023'!D9</f>
        <v>0.2</v>
      </c>
      <c r="E25" s="51" t="n">
        <f aca="false">'2023'!E9</f>
        <v>0.2</v>
      </c>
      <c r="F25" s="51" t="n">
        <f aca="false">'2023'!F9</f>
        <v>0.2</v>
      </c>
      <c r="G25" s="51" t="n">
        <f aca="false">'2023'!G9</f>
        <v>0.2</v>
      </c>
      <c r="H25" s="52" t="n">
        <f aca="false">SUM(C25:G25)</f>
        <v>1</v>
      </c>
    </row>
    <row r="26" customFormat="false" ht="4.5" hidden="false" customHeight="true" outlineLevel="0" collapsed="false"/>
    <row r="27" customFormat="false" ht="18" hidden="false" customHeight="true" outlineLevel="0" collapsed="false">
      <c r="B27" s="47" t="s">
        <v>186</v>
      </c>
      <c r="C27" s="47"/>
      <c r="D27" s="47"/>
      <c r="E27" s="47"/>
      <c r="F27" s="47"/>
      <c r="G27" s="47"/>
      <c r="H27" s="47"/>
    </row>
    <row r="28" customFormat="false" ht="15.75" hidden="false" customHeight="true" outlineLevel="0" collapsed="false">
      <c r="B28" s="48" t="s">
        <v>179</v>
      </c>
      <c r="C28" s="49" t="n">
        <f aca="false">'2024'!C59</f>
        <v>0</v>
      </c>
      <c r="D28" s="49" t="n">
        <f aca="false">'2024'!D59</f>
        <v>0</v>
      </c>
      <c r="E28" s="49" t="n">
        <f aca="false">'2024'!E59</f>
        <v>0</v>
      </c>
      <c r="F28" s="49" t="n">
        <f aca="false">'2024'!F59</f>
        <v>0</v>
      </c>
      <c r="G28" s="49" t="n">
        <f aca="false">'2024'!G59</f>
        <v>0</v>
      </c>
      <c r="H28" s="44" t="n">
        <f aca="false">SUM(C28:G28)</f>
        <v>0</v>
      </c>
    </row>
    <row r="29" customFormat="false" ht="15.75" hidden="false" customHeight="true" outlineLevel="0" collapsed="false">
      <c r="B29" s="48" t="s">
        <v>180</v>
      </c>
      <c r="C29" s="49" t="n">
        <f aca="false">'2024'!C86</f>
        <v>0</v>
      </c>
      <c r="D29" s="49" t="n">
        <f aca="false">'2024'!D86</f>
        <v>0</v>
      </c>
      <c r="E29" s="49" t="n">
        <f aca="false">'2024'!E86</f>
        <v>0</v>
      </c>
      <c r="F29" s="49" t="n">
        <f aca="false">'2024'!F86</f>
        <v>0</v>
      </c>
      <c r="G29" s="49" t="n">
        <f aca="false">'2024'!G86</f>
        <v>0</v>
      </c>
      <c r="H29" s="44" t="n">
        <f aca="false">SUM(C29:G29)</f>
        <v>0</v>
      </c>
    </row>
    <row r="30" customFormat="false" ht="15.75" hidden="false" customHeight="true" outlineLevel="0" collapsed="false">
      <c r="B30" s="40" t="s">
        <v>181</v>
      </c>
      <c r="C30" s="50" t="n">
        <f aca="false">MIN('2024'!C59,'2024'!C86)</f>
        <v>0</v>
      </c>
      <c r="D30" s="50" t="n">
        <f aca="false">MIN('2024'!D59,'2024'!D86)</f>
        <v>0</v>
      </c>
      <c r="E30" s="50" t="n">
        <f aca="false">MIN('2024'!E59,'2024'!E86)</f>
        <v>0</v>
      </c>
      <c r="F30" s="50" t="n">
        <f aca="false">MIN('2024'!F59,'2024'!F86)</f>
        <v>0</v>
      </c>
      <c r="G30" s="50" t="n">
        <f aca="false">MIN('2024'!G59,'2024'!G86)</f>
        <v>0</v>
      </c>
      <c r="H30" s="44" t="n">
        <f aca="false">SUM(C30:G30)</f>
        <v>0</v>
      </c>
    </row>
    <row r="31" customFormat="false" ht="15.75" hidden="false" customHeight="true" outlineLevel="0" collapsed="false">
      <c r="B31" s="35" t="s">
        <v>182</v>
      </c>
      <c r="C31" s="46" t="n">
        <f aca="false">'2024'!C117</f>
        <v>0</v>
      </c>
      <c r="D31" s="46" t="n">
        <f aca="false">'2024'!D117</f>
        <v>0</v>
      </c>
      <c r="E31" s="46" t="n">
        <f aca="false">'2024'!E117</f>
        <v>0</v>
      </c>
      <c r="F31" s="46" t="n">
        <f aca="false">'2024'!F117</f>
        <v>0</v>
      </c>
      <c r="G31" s="46" t="n">
        <f aca="false">'2024'!G117</f>
        <v>0</v>
      </c>
      <c r="H31" s="44" t="n">
        <f aca="false">SUM(C31:G31)</f>
        <v>0</v>
      </c>
    </row>
    <row r="32" customFormat="false" ht="13.5" hidden="false" customHeight="true" outlineLevel="0" collapsed="false">
      <c r="B32" s="35" t="s">
        <v>183</v>
      </c>
      <c r="C32" s="51" t="n">
        <f aca="false">'2024'!C9</f>
        <v>0.2</v>
      </c>
      <c r="D32" s="51" t="n">
        <f aca="false">'2024'!D9</f>
        <v>0.2</v>
      </c>
      <c r="E32" s="51" t="n">
        <f aca="false">'2024'!E9</f>
        <v>0.2</v>
      </c>
      <c r="F32" s="51" t="n">
        <f aca="false">'2024'!F9</f>
        <v>0.2</v>
      </c>
      <c r="G32" s="51" t="n">
        <f aca="false">'2024'!G9</f>
        <v>0.2</v>
      </c>
      <c r="H32" s="52" t="n">
        <f aca="false">SUM(C32:G32)</f>
        <v>1</v>
      </c>
    </row>
    <row r="33" customFormat="false" ht="4.5" hidden="false" customHeight="true" outlineLevel="0" collapsed="false"/>
    <row r="34" customFormat="false" ht="18" hidden="false" customHeight="true" outlineLevel="0" collapsed="false">
      <c r="B34" s="47" t="s">
        <v>187</v>
      </c>
      <c r="C34" s="47"/>
      <c r="D34" s="47"/>
      <c r="E34" s="47"/>
      <c r="F34" s="47"/>
      <c r="G34" s="47"/>
      <c r="H34" s="47"/>
    </row>
    <row r="35" customFormat="false" ht="15.75" hidden="false" customHeight="true" outlineLevel="0" collapsed="false">
      <c r="B35" s="48" t="s">
        <v>179</v>
      </c>
      <c r="C35" s="49" t="n">
        <f aca="false">'2025'!C59</f>
        <v>0</v>
      </c>
      <c r="D35" s="49" t="n">
        <f aca="false">'2025'!D59</f>
        <v>0</v>
      </c>
      <c r="E35" s="49" t="n">
        <f aca="false">'2025'!E59</f>
        <v>0</v>
      </c>
      <c r="F35" s="49" t="n">
        <f aca="false">'2025'!F59</f>
        <v>0</v>
      </c>
      <c r="G35" s="49" t="n">
        <f aca="false">'2025'!G59</f>
        <v>0</v>
      </c>
      <c r="H35" s="44" t="n">
        <f aca="false">SUM(C35:G35)</f>
        <v>0</v>
      </c>
    </row>
    <row r="36" customFormat="false" ht="15.75" hidden="false" customHeight="true" outlineLevel="0" collapsed="false">
      <c r="B36" s="48" t="s">
        <v>180</v>
      </c>
      <c r="C36" s="49" t="n">
        <f aca="false">'2025'!C86</f>
        <v>0</v>
      </c>
      <c r="D36" s="49" t="n">
        <f aca="false">'2025'!D86</f>
        <v>0</v>
      </c>
      <c r="E36" s="49" t="n">
        <f aca="false">'2025'!E86</f>
        <v>0</v>
      </c>
      <c r="F36" s="49" t="n">
        <f aca="false">'2025'!F86</f>
        <v>0</v>
      </c>
      <c r="G36" s="49" t="n">
        <f aca="false">'2025'!G86</f>
        <v>0</v>
      </c>
      <c r="H36" s="44" t="n">
        <f aca="false">SUM(C36:G36)</f>
        <v>0</v>
      </c>
    </row>
    <row r="37" customFormat="false" ht="15.75" hidden="false" customHeight="true" outlineLevel="0" collapsed="false">
      <c r="B37" s="40" t="s">
        <v>181</v>
      </c>
      <c r="C37" s="50" t="n">
        <f aca="false">MIN('2025'!C59,'2025'!C86)</f>
        <v>0</v>
      </c>
      <c r="D37" s="50" t="n">
        <f aca="false">MIN('2025'!D59,'2025'!D86)</f>
        <v>0</v>
      </c>
      <c r="E37" s="50" t="n">
        <f aca="false">MIN('2025'!E59,'2025'!E86)</f>
        <v>0</v>
      </c>
      <c r="F37" s="50" t="n">
        <f aca="false">MIN('2025'!F59,'2025'!F86)</f>
        <v>0</v>
      </c>
      <c r="G37" s="50" t="n">
        <f aca="false">MIN('2025'!G59,'2025'!G86)</f>
        <v>0</v>
      </c>
      <c r="H37" s="44" t="n">
        <f aca="false">SUM(C37:G37)</f>
        <v>0</v>
      </c>
    </row>
    <row r="38" customFormat="false" ht="15.75" hidden="false" customHeight="true" outlineLevel="0" collapsed="false">
      <c r="B38" s="35" t="s">
        <v>182</v>
      </c>
      <c r="C38" s="46" t="n">
        <f aca="false">'2025'!C117</f>
        <v>0</v>
      </c>
      <c r="D38" s="46" t="n">
        <f aca="false">'2025'!D117</f>
        <v>0</v>
      </c>
      <c r="E38" s="46" t="n">
        <f aca="false">'2025'!E117</f>
        <v>0</v>
      </c>
      <c r="F38" s="46" t="n">
        <f aca="false">'2025'!F117</f>
        <v>0</v>
      </c>
      <c r="G38" s="46" t="n">
        <f aca="false">'2025'!G117</f>
        <v>0</v>
      </c>
      <c r="H38" s="44" t="n">
        <f aca="false">SUM(C38:G38)</f>
        <v>0</v>
      </c>
    </row>
    <row r="39" customFormat="false" ht="13.5" hidden="false" customHeight="true" outlineLevel="0" collapsed="false">
      <c r="B39" s="35" t="s">
        <v>183</v>
      </c>
      <c r="C39" s="51" t="n">
        <f aca="false">'2025'!C9</f>
        <v>0.2</v>
      </c>
      <c r="D39" s="51" t="n">
        <f aca="false">'2025'!D9</f>
        <v>0.2</v>
      </c>
      <c r="E39" s="51" t="n">
        <f aca="false">'2025'!E9</f>
        <v>0.2</v>
      </c>
      <c r="F39" s="51" t="n">
        <f aca="false">'2025'!F9</f>
        <v>0.2</v>
      </c>
      <c r="G39" s="51" t="n">
        <f aca="false">'2025'!G9</f>
        <v>0.2</v>
      </c>
      <c r="H39" s="52" t="n">
        <f aca="false">SUM(C39:G39)</f>
        <v>1</v>
      </c>
    </row>
    <row r="40" customFormat="false" ht="4.5" hidden="false" customHeight="true" outlineLevel="0" collapsed="false"/>
    <row r="41" customFormat="false" ht="24" hidden="false" customHeight="true" outlineLevel="0" collapsed="false">
      <c r="B41" s="10" t="s">
        <v>188</v>
      </c>
      <c r="C41" s="10"/>
      <c r="D41" s="10"/>
      <c r="E41" s="10"/>
      <c r="F41" s="10"/>
      <c r="G41" s="10"/>
      <c r="H41" s="10"/>
    </row>
  </sheetData>
  <sheetProtection sheet="true" password="c466"/>
  <mergeCells count="8">
    <mergeCell ref="A1:H1"/>
    <mergeCell ref="B2:H2"/>
    <mergeCell ref="B6:H6"/>
    <mergeCell ref="B13:H13"/>
    <mergeCell ref="B20:H20"/>
    <mergeCell ref="B27:H27"/>
    <mergeCell ref="B34:H34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2026-03-13T08:21:39Z</dcterms:created>
  <dc:creator>openpyxl</dc:creator>
  <dc:description/>
  <dc:language>en-US</dc:language>
  <cp:lastModifiedBy/>
  <dcterms:modified xsi:type="dcterms:W3CDTF">2026-03-13T08:21:40Z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